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Investment\Inv_code_proj\"/>
    </mc:Choice>
  </mc:AlternateContent>
  <xr:revisionPtr revIDLastSave="0" documentId="13_ncr:1_{66CDAD64-BC6C-4839-8ECB-F1AD69B02014}" xr6:coauthVersionLast="47" xr6:coauthVersionMax="47" xr10:uidLastSave="{00000000-0000-0000-0000-000000000000}"/>
  <bookViews>
    <workbookView xWindow="-120" yWindow="-120" windowWidth="29040" windowHeight="15720" xr2:uid="{A59C9408-6FFB-4B1A-950F-E0ADD8156D3D}"/>
  </bookViews>
  <sheets>
    <sheet name="Purchase Date Wise" sheetId="6" r:id="rId1"/>
    <sheet name="Company Wise Aggregated Data" sheetId="4" r:id="rId2"/>
    <sheet name="GOLD&amp;SILVER" sheetId="10" r:id="rId3"/>
    <sheet name="MMYY" sheetId="7" r:id="rId4"/>
    <sheet name="YYYY" sheetId="8" r:id="rId5"/>
    <sheet name="Large-Small-ETF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8" i="6" l="1"/>
  <c r="E149" i="6"/>
  <c r="E147" i="6"/>
  <c r="E35" i="6"/>
  <c r="E134" i="6"/>
  <c r="E133" i="6"/>
  <c r="E19" i="6"/>
  <c r="E126" i="6"/>
  <c r="E143" i="6"/>
  <c r="E23" i="6"/>
  <c r="E146" i="6"/>
  <c r="E34" i="6"/>
  <c r="E68" i="6"/>
  <c r="E99" i="6"/>
  <c r="E112" i="6"/>
  <c r="E145" i="6"/>
  <c r="E144" i="6"/>
  <c r="E111" i="6"/>
  <c r="E123" i="6"/>
  <c r="E142" i="6"/>
  <c r="E22" i="6"/>
  <c r="E50" i="15"/>
  <c r="E43" i="15"/>
  <c r="E37" i="15"/>
  <c r="E18" i="15"/>
  <c r="E10" i="15"/>
  <c r="E67" i="6"/>
  <c r="E140" i="6"/>
  <c r="E139" i="6"/>
  <c r="E141" i="6"/>
  <c r="E28" i="6"/>
  <c r="E138" i="6"/>
  <c r="E137" i="6"/>
  <c r="E136" i="6"/>
  <c r="E135" i="6"/>
  <c r="E132" i="6"/>
  <c r="E131" i="6"/>
  <c r="E130" i="6"/>
  <c r="E129" i="6"/>
  <c r="E128" i="6"/>
  <c r="E127" i="6"/>
  <c r="E125" i="6"/>
  <c r="E124" i="6"/>
  <c r="E122" i="6"/>
  <c r="E121" i="6"/>
  <c r="E120" i="6"/>
  <c r="E119" i="6"/>
  <c r="E118" i="6"/>
  <c r="E117" i="6"/>
  <c r="E116" i="6"/>
  <c r="E115" i="6"/>
  <c r="E114" i="6"/>
  <c r="E113" i="6"/>
  <c r="E110" i="6"/>
  <c r="E109" i="6"/>
  <c r="E108" i="6"/>
  <c r="E107" i="6"/>
  <c r="E106" i="6"/>
  <c r="E105" i="6"/>
  <c r="E104" i="6"/>
  <c r="E103" i="6"/>
  <c r="E102" i="6"/>
  <c r="E101" i="6"/>
  <c r="E100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3" i="6"/>
  <c r="E32" i="6"/>
  <c r="E31" i="6"/>
  <c r="E30" i="6"/>
  <c r="E29" i="6"/>
  <c r="E27" i="6"/>
  <c r="E26" i="6"/>
  <c r="E25" i="6"/>
  <c r="E24" i="6"/>
  <c r="E21" i="6"/>
  <c r="E20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<sst xmlns="http://schemas.openxmlformats.org/spreadsheetml/2006/main" count="333" uniqueCount="129">
  <si>
    <t>ASIANPAINT</t>
  </si>
  <si>
    <t>BANDHANBNK</t>
  </si>
  <si>
    <t>BIOCON</t>
  </si>
  <si>
    <t>CDSL</t>
  </si>
  <si>
    <t>EQUITASBNK</t>
  </si>
  <si>
    <t>FMCGIETF</t>
  </si>
  <si>
    <t>GLAND</t>
  </si>
  <si>
    <t>HAVELLS</t>
  </si>
  <si>
    <t>HDFCLIFE</t>
  </si>
  <si>
    <t>HDFCSILVER</t>
  </si>
  <si>
    <t>HINDUNILVR</t>
  </si>
  <si>
    <t>IDFCFIRSTB</t>
  </si>
  <si>
    <t>INFY</t>
  </si>
  <si>
    <t>ITC</t>
  </si>
  <si>
    <t>ITCHOTELS</t>
  </si>
  <si>
    <t>KOTAKBANK</t>
  </si>
  <si>
    <t>MOTHERSON</t>
  </si>
  <si>
    <t>NMDC</t>
  </si>
  <si>
    <t>OLAELEC-BE</t>
  </si>
  <si>
    <t>PNB</t>
  </si>
  <si>
    <t>PNBHOUSING</t>
  </si>
  <si>
    <t>PVRINOX</t>
  </si>
  <si>
    <t>SBICARD</t>
  </si>
  <si>
    <t>SBIETFIT</t>
  </si>
  <si>
    <t>SBIN</t>
  </si>
  <si>
    <t>SETFGOLD</t>
  </si>
  <si>
    <t>SETFNIF50</t>
  </si>
  <si>
    <t>SETFNN50</t>
  </si>
  <si>
    <t>SGBFEB32IV-GB</t>
  </si>
  <si>
    <t>SONATSOFTW</t>
  </si>
  <si>
    <t>TATAPOWER</t>
  </si>
  <si>
    <t>TATASTEEL</t>
  </si>
  <si>
    <t>TCS</t>
  </si>
  <si>
    <t>UJJIVANSFB</t>
  </si>
  <si>
    <t>VBL</t>
  </si>
  <si>
    <t>VOLTAS</t>
  </si>
  <si>
    <t>Date</t>
  </si>
  <si>
    <t>Company</t>
  </si>
  <si>
    <t>Quantity</t>
  </si>
  <si>
    <t>Price</t>
  </si>
  <si>
    <t>Investment</t>
  </si>
  <si>
    <t>UNITDSPR</t>
  </si>
  <si>
    <t>KEC</t>
  </si>
  <si>
    <t>SBISILVER</t>
  </si>
  <si>
    <t>GOLDIETF</t>
  </si>
  <si>
    <t>GOLDBEES</t>
  </si>
  <si>
    <t>CONSUMBEES</t>
  </si>
  <si>
    <t>PIRAMALFIN-BE</t>
  </si>
  <si>
    <t>PPLPHARMA</t>
  </si>
  <si>
    <t>MMYY</t>
  </si>
  <si>
    <t>Purchase Companies</t>
  </si>
  <si>
    <t>inv_amount</t>
  </si>
  <si>
    <t>AUG2022</t>
  </si>
  <si>
    <t>GLAND
PIRAMALFIN-BE
PPLPHARMA</t>
  </si>
  <si>
    <t>SEP2023</t>
  </si>
  <si>
    <t>OCT2023</t>
  </si>
  <si>
    <t>ITC
ITCHOTELS
SETFNN50</t>
  </si>
  <si>
    <t>DEC2023</t>
  </si>
  <si>
    <t>ITC
ITCHOTELS
KOTAKBANK</t>
  </si>
  <si>
    <t>JAN2024</t>
  </si>
  <si>
    <t>ITC
ITCHOTELS</t>
  </si>
  <si>
    <t>FEB2024</t>
  </si>
  <si>
    <t>ITC
ITCHOTELS
SGBFEB32IV-GB</t>
  </si>
  <si>
    <t>APR2024</t>
  </si>
  <si>
    <t>HINDUNILVR
IDFCFIRSTB
PVRINOX
SETFGOLD</t>
  </si>
  <si>
    <t>MAY2024</t>
  </si>
  <si>
    <t>JUN2024</t>
  </si>
  <si>
    <t>SBIN
SETFGOLD
UJJIVANSFB</t>
  </si>
  <si>
    <t>JUL2024</t>
  </si>
  <si>
    <t>BANDHANBNK
HDFCLIFE
HINDUNILVR
SBICARD
SONATSOFTW</t>
  </si>
  <si>
    <t>AUG2024</t>
  </si>
  <si>
    <t>ASIANPAINT
SBIN
SETFGOLD</t>
  </si>
  <si>
    <t>SEP2024</t>
  </si>
  <si>
    <t>BANDHANBNK
EQUITASBNK
IDFCFIRSTB
SBIN
TATASTEEL</t>
  </si>
  <si>
    <t>OCT2024</t>
  </si>
  <si>
    <t>BIOCON
HINDUNILVR
PNB
SBICARD
SBIN</t>
  </si>
  <si>
    <t>NOV2024</t>
  </si>
  <si>
    <t>SETFGOLD
SETFNIF50</t>
  </si>
  <si>
    <t>DEC2024</t>
  </si>
  <si>
    <t>PNBHOUSING
SETFNN50</t>
  </si>
  <si>
    <t>JAN2025</t>
  </si>
  <si>
    <t>CDSL
HDFCLIFE
HINDUNILVR
PNB
PNBHOUSING
SETFNN50
TATASTEEL
UJJIVANSFB
VOLTAS</t>
  </si>
  <si>
    <t>FEB2025</t>
  </si>
  <si>
    <t>ASIANPAINT
BIOCON
VOLTAS</t>
  </si>
  <si>
    <t>MAR2025</t>
  </si>
  <si>
    <t>SETFNIF50
SETFNN50
SONATSOFTW
TATAPOWER</t>
  </si>
  <si>
    <t>APR2025</t>
  </si>
  <si>
    <t>MAY2025</t>
  </si>
  <si>
    <t>SETFGOLD
VOLTAS</t>
  </si>
  <si>
    <t>JUN2025</t>
  </si>
  <si>
    <t>HAVELLS
HINDUNILVR
INFY
ITC
PNB
SBIETFIT
TCS</t>
  </si>
  <si>
    <t>JUL2025</t>
  </si>
  <si>
    <t>FMCGIETF
ITC
SBICARD</t>
  </si>
  <si>
    <t>AUG2025</t>
  </si>
  <si>
    <t>HDFCLIFE
HDFCSILVER
PNB
PNBHOUSING</t>
  </si>
  <si>
    <t>SEP2025</t>
  </si>
  <si>
    <t>BANDHANBNK
BIOCON
CDSL
FMCGIETF
HDFCSILVER
IDFCFIRSTB
KEC
MOTHERSON
NMDC
OLAELEC-BE
PNBHOUSING
SBICARD
SETFGOLD
SETFNN50
UJJIVANSFB
UNITDSPR
VBL</t>
  </si>
  <si>
    <t>OCT2025</t>
  </si>
  <si>
    <t>CONSUMBEES
FMCGIETF
GOLDBEES
GOLDIETF
HDFCLIFE
HDFCSILVER
KOTAKBANK
SBISILVER
SETFGOLD
VBL</t>
  </si>
  <si>
    <t>NOV2025</t>
  </si>
  <si>
    <t>YYYY</t>
  </si>
  <si>
    <t>HINDUNILVR
ITCHOTELS
SETFNN50
ITC
ITCHOTELS
KOTAKBANK</t>
  </si>
  <si>
    <t xml:space="preserve">	ANANTRAJ</t>
  </si>
  <si>
    <t>GOLDBEES
HDFCSILVER
KEC
ANANTRAJ</t>
  </si>
  <si>
    <t>ASIANPAINT
BANDHANBNK
BIOCON
CDSL
CONSUMBEES
FMCGIETF
GOLDBEES
GOLDIETF
HAVELLS
HDFCLIFE
HDFCSILVER
HINDUNILVR
IDFCFIRSTB
INFY
ITC
KEC
KOTAKBANK
MOTHERSON
NMDC
OLAELEC-BE
PNB
PNBHOUSING
SBICARD
SBIETFIT
SBISILVER
SETFGOLD
SETFNIF50
SETFNN50
SONATSOFTW
TATAPOWER
TATASTEEL
TCS
UJJIVANSFB
UNITDSPR
VBL
VOLTAS
ANANTRAJ</t>
  </si>
  <si>
    <t>ASIANPAINT
BANDHANBNK
EQUITASBNK
HDFCLIFE
HINDUNILVR
IDFCFIRSTB
ITCHOTELS
ITC
KOTAKBANK
PNB
PNBHOUSING
PVRINOX
SBICARD
SBIN
SGBFEB32IV-GB
SETFGOLD
SETFNIF50
SETFNN50
SONATSOFTW
TATASTEEL
UJJIVANSFB
BIOCON</t>
  </si>
  <si>
    <t xml:space="preserve">	CGPOWER</t>
  </si>
  <si>
    <t>SGBFEB32IV</t>
  </si>
  <si>
    <t>DEC2025</t>
  </si>
  <si>
    <t>HDFCLIFE
CGPOWER
ANANTRAJ
OLAELEC</t>
  </si>
  <si>
    <t>Instrument</t>
  </si>
  <si>
    <t>Qty.</t>
  </si>
  <si>
    <t>Avg. cost</t>
  </si>
  <si>
    <t>Invested</t>
  </si>
  <si>
    <t>OLAELEC</t>
  </si>
  <si>
    <t>PIRAMALFIN</t>
  </si>
  <si>
    <t>ANANTRAJ</t>
  </si>
  <si>
    <t>CGPOWER</t>
  </si>
  <si>
    <t>Group Wise Total</t>
  </si>
  <si>
    <t>NBCC</t>
  </si>
  <si>
    <t xml:space="preserve">	HYUNDAI</t>
  </si>
  <si>
    <t xml:space="preserve">	MAXHEALTH</t>
  </si>
  <si>
    <t>LTP</t>
  </si>
  <si>
    <t>Cur. val</t>
  </si>
  <si>
    <t>HYUNDAI</t>
  </si>
  <si>
    <t>MAXHEALTH</t>
  </si>
  <si>
    <t>TATSILV</t>
  </si>
  <si>
    <t>CHEMICAL</t>
  </si>
  <si>
    <t>29/02/2024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</si>
</sst>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rgb="FF444444"/>
      <name val="Aptos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</cellStyleXfs>
  <cellXfs count="20">
    <xf numFmtId="0" fontId="0" fillId="0" borderId="0" xfId="0"/>
    <xf numFmtId="0" fontId="18" fillId="0" borderId="0" xfId="0" applyFont="1"/>
    <xf numFmtId="0" fontId="19" fillId="0" borderId="0" xfId="0" applyFont="1"/>
    <xf numFmtId="14" fontId="20" fillId="0" borderId="0" xfId="0" applyNumberFormat="1" applyFont="1"/>
    <xf numFmtId="14" fontId="19" fillId="0" borderId="0" xfId="0" applyNumberFormat="1" applyFont="1"/>
    <xf numFmtId="14" fontId="19" fillId="0" borderId="0" xfId="0" applyNumberFormat="1" applyFont="1" applyAlignment="1">
      <alignment horizontal="left" vertical="top" wrapText="1" indent="1"/>
    </xf>
    <xf numFmtId="14" fontId="20" fillId="0" borderId="0" xfId="0" applyNumberFormat="1" applyFont="1" applyAlignment="1">
      <alignment horizontal="left" vertical="top" wrapText="1" indent="1"/>
    </xf>
    <xf numFmtId="0" fontId="20" fillId="0" borderId="0" xfId="0" applyFont="1"/>
    <xf numFmtId="2" fontId="18" fillId="0" borderId="0" xfId="0" applyNumberFormat="1" applyFont="1"/>
    <xf numFmtId="2" fontId="19" fillId="0" borderId="0" xfId="0" applyNumberFormat="1" applyFont="1"/>
    <xf numFmtId="0" fontId="19" fillId="0" borderId="0" xfId="0" applyFont="1" applyAlignment="1">
      <alignment vertical="top" wrapText="1"/>
    </xf>
    <xf numFmtId="2" fontId="18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 vertical="top" wrapText="1"/>
    </xf>
    <xf numFmtId="0" fontId="18" fillId="0" borderId="10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1" fillId="0" borderId="0" xfId="0" applyFont="1" applyAlignment="1">
      <alignment wrapText="1"/>
    </xf>
    <xf numFmtId="0" fontId="19" fillId="0" borderId="0" xfId="0" applyFont="1" applyAlignment="1">
      <alignment wrapText="1"/>
    </xf>
    <xf numFmtId="17" fontId="19" fillId="0" borderId="0" xfId="0" applyNumberFormat="1" applyFont="1"/>
    <xf numFmtId="17" fontId="19" fillId="0" borderId="0" xfId="0" quotePrefix="1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CCBC88C-7B41-438E-8B99-F83A84E701B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EE69-FFA9-4CB2-92C6-25BBB6E0EE9A}">
  <dimension ref="A1:E149"/>
  <sheetViews>
    <sheetView tabSelected="1" topLeftCell="A48" workbookViewId="0">
      <selection activeCell="A66" sqref="A66"/>
    </sheetView>
  </sheetViews>
  <sheetFormatPr defaultRowHeight="15.75" x14ac:dyDescent="0.25"/>
  <cols>
    <col min="1" max="1" width="14.42578125" style="2" bestFit="1" customWidth="1"/>
    <col min="2" max="2" width="17.85546875" style="2" bestFit="1" customWidth="1"/>
    <col min="3" max="3" width="11" style="2" bestFit="1" customWidth="1"/>
    <col min="4" max="4" width="11" style="12" bestFit="1" customWidth="1"/>
    <col min="5" max="5" width="13.7109375" style="9" bestFit="1" customWidth="1"/>
    <col min="6" max="16384" width="9.140625" style="2"/>
  </cols>
  <sheetData>
    <row r="1" spans="1:5" x14ac:dyDescent="0.25">
      <c r="A1" s="1" t="s">
        <v>36</v>
      </c>
      <c r="B1" s="1" t="s">
        <v>37</v>
      </c>
      <c r="C1" s="1" t="s">
        <v>38</v>
      </c>
      <c r="D1" s="11" t="s">
        <v>39</v>
      </c>
      <c r="E1" s="8" t="s">
        <v>40</v>
      </c>
    </row>
    <row r="2" spans="1:5" x14ac:dyDescent="0.25">
      <c r="A2" s="3">
        <v>45505</v>
      </c>
      <c r="B2" s="2" t="s">
        <v>0</v>
      </c>
      <c r="C2" s="2">
        <v>10</v>
      </c>
      <c r="D2" s="12">
        <v>3101.2</v>
      </c>
      <c r="E2" s="9">
        <f t="shared" ref="E2:E33" si="0">C2*D2</f>
        <v>31012</v>
      </c>
    </row>
    <row r="3" spans="1:5" x14ac:dyDescent="0.25">
      <c r="A3" s="4">
        <v>45689</v>
      </c>
      <c r="B3" s="2" t="s">
        <v>0</v>
      </c>
      <c r="C3" s="2">
        <v>10</v>
      </c>
      <c r="D3" s="12">
        <v>2353.4</v>
      </c>
      <c r="E3" s="9">
        <f t="shared" si="0"/>
        <v>23534</v>
      </c>
    </row>
    <row r="4" spans="1:5" x14ac:dyDescent="0.25">
      <c r="A4" s="4">
        <v>45502</v>
      </c>
      <c r="B4" s="2" t="s">
        <v>1</v>
      </c>
      <c r="C4" s="2">
        <v>75</v>
      </c>
      <c r="D4" s="12">
        <v>213.38</v>
      </c>
      <c r="E4" s="9">
        <f t="shared" si="0"/>
        <v>16003.5</v>
      </c>
    </row>
    <row r="5" spans="1:5" x14ac:dyDescent="0.25">
      <c r="A5" s="4">
        <v>45554</v>
      </c>
      <c r="B5" s="2" t="s">
        <v>1</v>
      </c>
      <c r="C5" s="2">
        <v>10</v>
      </c>
      <c r="D5" s="12">
        <v>212.38</v>
      </c>
      <c r="E5" s="9">
        <f t="shared" si="0"/>
        <v>2123.8000000000002</v>
      </c>
    </row>
    <row r="6" spans="1:5" x14ac:dyDescent="0.25">
      <c r="A6" s="3">
        <v>45901</v>
      </c>
      <c r="B6" s="2" t="s">
        <v>1</v>
      </c>
      <c r="C6" s="2">
        <v>15</v>
      </c>
      <c r="D6" s="12">
        <v>160.19999999999999</v>
      </c>
      <c r="E6" s="9">
        <f t="shared" si="0"/>
        <v>2403</v>
      </c>
    </row>
    <row r="7" spans="1:5" x14ac:dyDescent="0.25">
      <c r="A7" s="5">
        <v>45574</v>
      </c>
      <c r="B7" s="2" t="s">
        <v>2</v>
      </c>
      <c r="C7" s="10">
        <v>100</v>
      </c>
      <c r="D7" s="13">
        <v>348.85</v>
      </c>
      <c r="E7" s="9">
        <f t="shared" si="0"/>
        <v>34885</v>
      </c>
    </row>
    <row r="8" spans="1:5" x14ac:dyDescent="0.25">
      <c r="A8" s="5">
        <v>45713</v>
      </c>
      <c r="B8" s="2" t="s">
        <v>2</v>
      </c>
      <c r="C8" s="10">
        <v>24</v>
      </c>
      <c r="D8" s="13">
        <v>324.2</v>
      </c>
      <c r="E8" s="9">
        <f t="shared" si="0"/>
        <v>7780.7999999999993</v>
      </c>
    </row>
    <row r="9" spans="1:5" x14ac:dyDescent="0.25">
      <c r="A9" s="5">
        <v>45713</v>
      </c>
      <c r="B9" s="2" t="s">
        <v>2</v>
      </c>
      <c r="C9" s="10">
        <v>36</v>
      </c>
      <c r="D9" s="13">
        <v>324.25</v>
      </c>
      <c r="E9" s="9">
        <f t="shared" si="0"/>
        <v>11673</v>
      </c>
    </row>
    <row r="10" spans="1:5" x14ac:dyDescent="0.25">
      <c r="A10" s="5">
        <v>45929</v>
      </c>
      <c r="B10" s="2" t="s">
        <v>2</v>
      </c>
      <c r="C10" s="10">
        <v>40</v>
      </c>
      <c r="D10" s="13">
        <v>339.45</v>
      </c>
      <c r="E10" s="9">
        <f t="shared" si="0"/>
        <v>13578</v>
      </c>
    </row>
    <row r="11" spans="1:5" x14ac:dyDescent="0.25">
      <c r="A11" s="5">
        <v>45688</v>
      </c>
      <c r="B11" s="2" t="s">
        <v>3</v>
      </c>
      <c r="C11" s="10">
        <v>20</v>
      </c>
      <c r="D11" s="13">
        <v>1302</v>
      </c>
      <c r="E11" s="9">
        <f t="shared" si="0"/>
        <v>26040</v>
      </c>
    </row>
    <row r="12" spans="1:5" x14ac:dyDescent="0.25">
      <c r="A12" s="4">
        <v>45901</v>
      </c>
      <c r="B12" s="2" t="s">
        <v>3</v>
      </c>
      <c r="C12" s="10">
        <v>10</v>
      </c>
      <c r="D12" s="13">
        <v>1467.6</v>
      </c>
      <c r="E12" s="9">
        <f t="shared" si="0"/>
        <v>14676</v>
      </c>
    </row>
    <row r="13" spans="1:5" x14ac:dyDescent="0.25">
      <c r="A13" s="4">
        <v>45560</v>
      </c>
      <c r="B13" s="2" t="s">
        <v>4</v>
      </c>
      <c r="C13" s="10">
        <v>150</v>
      </c>
      <c r="D13" s="13">
        <v>81.27</v>
      </c>
      <c r="E13" s="9">
        <f t="shared" si="0"/>
        <v>12190.5</v>
      </c>
    </row>
    <row r="14" spans="1:5" x14ac:dyDescent="0.25">
      <c r="A14" s="4">
        <v>45839</v>
      </c>
      <c r="B14" s="2" t="s">
        <v>5</v>
      </c>
      <c r="C14" s="10">
        <v>500</v>
      </c>
      <c r="D14" s="13">
        <v>58.6</v>
      </c>
      <c r="E14" s="9">
        <f t="shared" si="0"/>
        <v>29300</v>
      </c>
    </row>
    <row r="15" spans="1:5" x14ac:dyDescent="0.25">
      <c r="A15" s="4">
        <v>45915</v>
      </c>
      <c r="B15" s="2" t="s">
        <v>5</v>
      </c>
      <c r="C15" s="10">
        <v>45</v>
      </c>
      <c r="D15" s="13">
        <v>60.47</v>
      </c>
      <c r="E15" s="9">
        <f t="shared" si="0"/>
        <v>2721.15</v>
      </c>
    </row>
    <row r="16" spans="1:5" x14ac:dyDescent="0.25">
      <c r="A16" s="4">
        <v>45916</v>
      </c>
      <c r="B16" s="2" t="s">
        <v>5</v>
      </c>
      <c r="C16" s="10">
        <v>155</v>
      </c>
      <c r="D16" s="13">
        <v>60.25</v>
      </c>
      <c r="E16" s="9">
        <f t="shared" si="0"/>
        <v>9338.75</v>
      </c>
    </row>
    <row r="17" spans="1:5" x14ac:dyDescent="0.25">
      <c r="A17" s="4">
        <v>45930</v>
      </c>
      <c r="B17" s="2" t="s">
        <v>5</v>
      </c>
      <c r="C17" s="10">
        <v>300</v>
      </c>
      <c r="D17" s="13">
        <v>58.56</v>
      </c>
      <c r="E17" s="9">
        <f t="shared" si="0"/>
        <v>17568</v>
      </c>
    </row>
    <row r="18" spans="1:5" x14ac:dyDescent="0.25">
      <c r="A18" s="4">
        <v>45953</v>
      </c>
      <c r="B18" s="2" t="s">
        <v>5</v>
      </c>
      <c r="C18" s="10">
        <v>500</v>
      </c>
      <c r="D18" s="13">
        <v>60.99</v>
      </c>
      <c r="E18" s="9">
        <f t="shared" si="0"/>
        <v>30495</v>
      </c>
    </row>
    <row r="19" spans="1:5" x14ac:dyDescent="0.25">
      <c r="A19" s="4">
        <v>46053</v>
      </c>
      <c r="B19" s="2" t="s">
        <v>5</v>
      </c>
      <c r="C19" s="2">
        <v>60</v>
      </c>
      <c r="D19" s="2">
        <v>54.52</v>
      </c>
      <c r="E19" s="2">
        <f t="shared" si="0"/>
        <v>3271.2000000000003</v>
      </c>
    </row>
    <row r="20" spans="1:5" x14ac:dyDescent="0.25">
      <c r="A20" s="4">
        <v>44789</v>
      </c>
      <c r="B20" s="2" t="s">
        <v>6</v>
      </c>
      <c r="C20" s="2">
        <v>4</v>
      </c>
      <c r="D20" s="12">
        <v>2340.15</v>
      </c>
      <c r="E20" s="9">
        <f t="shared" si="0"/>
        <v>9360.6</v>
      </c>
    </row>
    <row r="21" spans="1:5" x14ac:dyDescent="0.25">
      <c r="A21" s="4">
        <v>45817</v>
      </c>
      <c r="B21" s="2" t="s">
        <v>7</v>
      </c>
      <c r="C21" s="10">
        <v>20</v>
      </c>
      <c r="D21" s="13">
        <v>1543.3</v>
      </c>
      <c r="E21" s="9">
        <f t="shared" si="0"/>
        <v>30866</v>
      </c>
    </row>
    <row r="22" spans="1:5" x14ac:dyDescent="0.25">
      <c r="A22" s="4">
        <v>46015</v>
      </c>
      <c r="B22" s="2" t="s">
        <v>7</v>
      </c>
      <c r="C22" s="10">
        <v>10</v>
      </c>
      <c r="D22" s="13">
        <v>1431.6</v>
      </c>
      <c r="E22" s="9">
        <f t="shared" si="0"/>
        <v>14316</v>
      </c>
    </row>
    <row r="23" spans="1:5" x14ac:dyDescent="0.25">
      <c r="A23" s="4">
        <v>46021</v>
      </c>
      <c r="B23" s="2" t="s">
        <v>7</v>
      </c>
      <c r="C23" s="10">
        <v>10</v>
      </c>
      <c r="D23" s="13">
        <v>1280.5999999999999</v>
      </c>
      <c r="E23" s="9">
        <f t="shared" si="0"/>
        <v>12806</v>
      </c>
    </row>
    <row r="24" spans="1:5" x14ac:dyDescent="0.25">
      <c r="A24" s="4">
        <v>45477</v>
      </c>
      <c r="B24" s="2" t="s">
        <v>8</v>
      </c>
      <c r="C24" s="10">
        <v>30</v>
      </c>
      <c r="D24" s="13">
        <v>601.75</v>
      </c>
      <c r="E24" s="9">
        <f t="shared" si="0"/>
        <v>18052.5</v>
      </c>
    </row>
    <row r="25" spans="1:5" x14ac:dyDescent="0.25">
      <c r="A25" s="4">
        <v>45659</v>
      </c>
      <c r="B25" s="2" t="s">
        <v>8</v>
      </c>
      <c r="C25" s="10">
        <v>30</v>
      </c>
      <c r="D25" s="13">
        <v>616.9</v>
      </c>
      <c r="E25" s="9">
        <f t="shared" si="0"/>
        <v>18507</v>
      </c>
    </row>
    <row r="26" spans="1:5" x14ac:dyDescent="0.25">
      <c r="A26" s="4">
        <v>45873</v>
      </c>
      <c r="B26" s="2" t="s">
        <v>8</v>
      </c>
      <c r="C26" s="10">
        <v>20</v>
      </c>
      <c r="D26" s="13">
        <v>746</v>
      </c>
      <c r="E26" s="9">
        <f t="shared" si="0"/>
        <v>14920</v>
      </c>
    </row>
    <row r="27" spans="1:5" x14ac:dyDescent="0.25">
      <c r="A27" s="4">
        <v>45961</v>
      </c>
      <c r="B27" s="2" t="s">
        <v>8</v>
      </c>
      <c r="C27" s="10">
        <v>10</v>
      </c>
      <c r="D27" s="13">
        <v>747</v>
      </c>
      <c r="E27" s="9">
        <f t="shared" si="0"/>
        <v>7470</v>
      </c>
    </row>
    <row r="28" spans="1:5" x14ac:dyDescent="0.25">
      <c r="A28" s="4">
        <v>45993</v>
      </c>
      <c r="B28" s="2" t="s">
        <v>8</v>
      </c>
      <c r="C28" s="10">
        <v>10</v>
      </c>
      <c r="D28" s="13">
        <v>759</v>
      </c>
      <c r="E28" s="9">
        <f t="shared" si="0"/>
        <v>7590</v>
      </c>
    </row>
    <row r="29" spans="1:5" x14ac:dyDescent="0.25">
      <c r="A29" s="4">
        <v>45908</v>
      </c>
      <c r="B29" s="2" t="s">
        <v>9</v>
      </c>
      <c r="C29" s="10">
        <v>100</v>
      </c>
      <c r="D29" s="13">
        <v>120.75</v>
      </c>
      <c r="E29" s="9">
        <f t="shared" si="0"/>
        <v>12075</v>
      </c>
    </row>
    <row r="30" spans="1:5" x14ac:dyDescent="0.25">
      <c r="A30" s="4">
        <v>45930</v>
      </c>
      <c r="B30" s="2" t="s">
        <v>9</v>
      </c>
      <c r="C30" s="10">
        <v>100</v>
      </c>
      <c r="D30" s="13">
        <v>141.01</v>
      </c>
      <c r="E30" s="9">
        <f t="shared" si="0"/>
        <v>14101</v>
      </c>
    </row>
    <row r="31" spans="1:5" x14ac:dyDescent="0.25">
      <c r="A31" s="4">
        <v>45940</v>
      </c>
      <c r="B31" s="2" t="s">
        <v>9</v>
      </c>
      <c r="C31" s="10">
        <v>100</v>
      </c>
      <c r="D31" s="12">
        <v>156.25</v>
      </c>
      <c r="E31" s="9">
        <f t="shared" si="0"/>
        <v>15625</v>
      </c>
    </row>
    <row r="32" spans="1:5" x14ac:dyDescent="0.25">
      <c r="A32" s="4">
        <v>45960</v>
      </c>
      <c r="B32" s="2" t="s">
        <v>9</v>
      </c>
      <c r="C32" s="10">
        <v>100</v>
      </c>
      <c r="D32" s="12">
        <v>141.85</v>
      </c>
      <c r="E32" s="9">
        <f t="shared" si="0"/>
        <v>14185</v>
      </c>
    </row>
    <row r="33" spans="1:5" x14ac:dyDescent="0.25">
      <c r="A33" s="4">
        <v>45975</v>
      </c>
      <c r="B33" s="2" t="s">
        <v>9</v>
      </c>
      <c r="C33" s="10">
        <v>100</v>
      </c>
      <c r="D33" s="12">
        <v>153.53</v>
      </c>
      <c r="E33" s="9">
        <f t="shared" si="0"/>
        <v>15353</v>
      </c>
    </row>
    <row r="34" spans="1:5" x14ac:dyDescent="0.25">
      <c r="A34" s="4">
        <v>46052</v>
      </c>
      <c r="B34" s="2" t="s">
        <v>9</v>
      </c>
      <c r="C34" s="10">
        <v>540</v>
      </c>
      <c r="D34" s="12">
        <v>325.64</v>
      </c>
      <c r="E34" s="9">
        <f t="shared" ref="E34:E66" si="1">C34*D34</f>
        <v>175845.6</v>
      </c>
    </row>
    <row r="35" spans="1:5" x14ac:dyDescent="0.25">
      <c r="A35" s="4">
        <v>46055</v>
      </c>
      <c r="B35" s="2" t="s">
        <v>9</v>
      </c>
      <c r="C35" s="10">
        <v>60</v>
      </c>
      <c r="D35" s="12">
        <v>215.21</v>
      </c>
      <c r="E35" s="9">
        <f t="shared" si="1"/>
        <v>12912.6</v>
      </c>
    </row>
    <row r="36" spans="1:5" x14ac:dyDescent="0.25">
      <c r="A36" s="4">
        <v>45196</v>
      </c>
      <c r="B36" s="2" t="s">
        <v>10</v>
      </c>
      <c r="C36" s="10">
        <v>10</v>
      </c>
      <c r="D36" s="13">
        <v>2492.9499999999998</v>
      </c>
      <c r="E36" s="9">
        <f t="shared" si="1"/>
        <v>24929.5</v>
      </c>
    </row>
    <row r="37" spans="1:5" x14ac:dyDescent="0.25">
      <c r="A37" s="4">
        <v>45385</v>
      </c>
      <c r="B37" s="2" t="s">
        <v>10</v>
      </c>
      <c r="C37" s="10">
        <v>7</v>
      </c>
      <c r="D37" s="13">
        <v>2275.9499999999998</v>
      </c>
      <c r="E37" s="9">
        <f t="shared" si="1"/>
        <v>15931.649999999998</v>
      </c>
    </row>
    <row r="38" spans="1:5" x14ac:dyDescent="0.25">
      <c r="A38" s="5">
        <v>45474</v>
      </c>
      <c r="B38" s="2" t="s">
        <v>10</v>
      </c>
      <c r="C38" s="10">
        <v>23</v>
      </c>
      <c r="D38" s="13">
        <v>2504</v>
      </c>
      <c r="E38" s="9">
        <f t="shared" si="1"/>
        <v>57592</v>
      </c>
    </row>
    <row r="39" spans="1:5" x14ac:dyDescent="0.25">
      <c r="A39" s="4">
        <v>45588</v>
      </c>
      <c r="B39" s="2" t="s">
        <v>10</v>
      </c>
      <c r="C39" s="10">
        <v>10</v>
      </c>
      <c r="D39" s="13">
        <v>2677.95</v>
      </c>
      <c r="E39" s="9">
        <f t="shared" si="1"/>
        <v>26779.5</v>
      </c>
    </row>
    <row r="40" spans="1:5" x14ac:dyDescent="0.25">
      <c r="A40" s="4">
        <v>45590</v>
      </c>
      <c r="B40" s="2" t="s">
        <v>10</v>
      </c>
      <c r="C40" s="10">
        <v>10</v>
      </c>
      <c r="D40" s="13">
        <v>2523.4</v>
      </c>
      <c r="E40" s="9">
        <f t="shared" si="1"/>
        <v>25234</v>
      </c>
    </row>
    <row r="41" spans="1:5" x14ac:dyDescent="0.25">
      <c r="A41" s="4">
        <v>45659</v>
      </c>
      <c r="B41" s="2" t="s">
        <v>10</v>
      </c>
      <c r="C41" s="10">
        <v>20</v>
      </c>
      <c r="D41" s="13">
        <v>2348.4</v>
      </c>
      <c r="E41" s="9">
        <f t="shared" si="1"/>
        <v>46968</v>
      </c>
    </row>
    <row r="42" spans="1:5" x14ac:dyDescent="0.25">
      <c r="A42" s="4">
        <v>45834</v>
      </c>
      <c r="B42" s="2" t="s">
        <v>10</v>
      </c>
      <c r="C42" s="10">
        <v>10</v>
      </c>
      <c r="D42" s="13">
        <v>2274.8000000000002</v>
      </c>
      <c r="E42" s="9">
        <f t="shared" si="1"/>
        <v>22748</v>
      </c>
    </row>
    <row r="43" spans="1:5" x14ac:dyDescent="0.25">
      <c r="A43" s="4">
        <v>45401</v>
      </c>
      <c r="B43" s="2" t="s">
        <v>11</v>
      </c>
      <c r="C43" s="10">
        <v>100</v>
      </c>
      <c r="D43" s="13">
        <v>81.849999999999994</v>
      </c>
      <c r="E43" s="9">
        <f t="shared" si="1"/>
        <v>8184.9999999999991</v>
      </c>
    </row>
    <row r="44" spans="1:5" x14ac:dyDescent="0.25">
      <c r="A44" s="4">
        <v>45541</v>
      </c>
      <c r="B44" s="2" t="s">
        <v>11</v>
      </c>
      <c r="C44" s="10">
        <v>58</v>
      </c>
      <c r="D44" s="13">
        <v>74.19</v>
      </c>
      <c r="E44" s="9">
        <f t="shared" si="1"/>
        <v>4303.0199999999995</v>
      </c>
    </row>
    <row r="45" spans="1:5" x14ac:dyDescent="0.25">
      <c r="A45" s="4">
        <v>45901</v>
      </c>
      <c r="B45" s="2" t="s">
        <v>11</v>
      </c>
      <c r="C45" s="10">
        <v>42</v>
      </c>
      <c r="D45" s="13">
        <v>68.849999999999994</v>
      </c>
      <c r="E45" s="9">
        <f t="shared" si="1"/>
        <v>2891.7</v>
      </c>
    </row>
    <row r="46" spans="1:5" x14ac:dyDescent="0.25">
      <c r="A46" s="4">
        <v>45818</v>
      </c>
      <c r="B46" s="2" t="s">
        <v>12</v>
      </c>
      <c r="C46" s="10">
        <v>18</v>
      </c>
      <c r="D46" s="13">
        <v>1585</v>
      </c>
      <c r="E46" s="9">
        <f t="shared" si="1"/>
        <v>28530</v>
      </c>
    </row>
    <row r="47" spans="1:5" x14ac:dyDescent="0.25">
      <c r="A47" s="4">
        <v>45229</v>
      </c>
      <c r="B47" s="2" t="s">
        <v>13</v>
      </c>
      <c r="C47" s="10">
        <v>48</v>
      </c>
      <c r="D47" s="13">
        <v>373.64</v>
      </c>
      <c r="E47" s="9">
        <f t="shared" si="1"/>
        <v>17934.72</v>
      </c>
    </row>
    <row r="48" spans="1:5" x14ac:dyDescent="0.25">
      <c r="A48" s="4">
        <v>45279</v>
      </c>
      <c r="B48" s="2" t="s">
        <v>13</v>
      </c>
      <c r="C48" s="10">
        <v>25</v>
      </c>
      <c r="D48" s="13">
        <v>395.09</v>
      </c>
      <c r="E48" s="9">
        <f t="shared" si="1"/>
        <v>9877.25</v>
      </c>
    </row>
    <row r="49" spans="1:5" x14ac:dyDescent="0.25">
      <c r="A49" s="4">
        <v>45288</v>
      </c>
      <c r="B49" s="2" t="s">
        <v>13</v>
      </c>
      <c r="C49" s="10">
        <v>6</v>
      </c>
      <c r="D49" s="13">
        <v>400.41</v>
      </c>
      <c r="E49" s="9">
        <f t="shared" si="1"/>
        <v>2402.46</v>
      </c>
    </row>
    <row r="50" spans="1:5" x14ac:dyDescent="0.25">
      <c r="A50" s="4">
        <v>45322</v>
      </c>
      <c r="B50" s="2" t="s">
        <v>13</v>
      </c>
      <c r="C50" s="10">
        <v>92</v>
      </c>
      <c r="D50" s="13">
        <v>381.51</v>
      </c>
      <c r="E50" s="9">
        <f t="shared" si="1"/>
        <v>35098.92</v>
      </c>
    </row>
    <row r="51" spans="1:5" x14ac:dyDescent="0.25">
      <c r="A51" s="4">
        <v>45329</v>
      </c>
      <c r="B51" s="2" t="s">
        <v>13</v>
      </c>
      <c r="C51" s="10">
        <v>23</v>
      </c>
      <c r="D51" s="13">
        <v>373.64</v>
      </c>
      <c r="E51" s="9">
        <f t="shared" si="1"/>
        <v>8593.7199999999993</v>
      </c>
    </row>
    <row r="52" spans="1:5" x14ac:dyDescent="0.25">
      <c r="A52" s="4">
        <v>45336</v>
      </c>
      <c r="B52" s="2" t="s">
        <v>13</v>
      </c>
      <c r="C52" s="10">
        <v>6</v>
      </c>
      <c r="D52" s="13">
        <v>353.23</v>
      </c>
      <c r="E52" s="9">
        <f t="shared" si="1"/>
        <v>2119.38</v>
      </c>
    </row>
    <row r="53" spans="1:5" x14ac:dyDescent="0.25">
      <c r="A53" s="4">
        <v>45834</v>
      </c>
      <c r="B53" s="2" t="s">
        <v>13</v>
      </c>
      <c r="C53" s="10">
        <v>60</v>
      </c>
      <c r="D53" s="13">
        <v>417.85</v>
      </c>
      <c r="E53" s="9">
        <f t="shared" si="1"/>
        <v>25071</v>
      </c>
    </row>
    <row r="54" spans="1:5" x14ac:dyDescent="0.25">
      <c r="A54" s="4">
        <v>45846</v>
      </c>
      <c r="B54" s="2" t="s">
        <v>13</v>
      </c>
      <c r="C54" s="10">
        <v>40</v>
      </c>
      <c r="D54" s="13">
        <v>417</v>
      </c>
      <c r="E54" s="9">
        <f t="shared" si="1"/>
        <v>16680</v>
      </c>
    </row>
    <row r="55" spans="1:5" x14ac:dyDescent="0.25">
      <c r="A55" s="4">
        <v>45229</v>
      </c>
      <c r="B55" s="2" t="s">
        <v>14</v>
      </c>
      <c r="C55" s="10">
        <v>4</v>
      </c>
      <c r="D55" s="13">
        <v>583.63</v>
      </c>
      <c r="E55" s="9">
        <f t="shared" si="1"/>
        <v>2334.52</v>
      </c>
    </row>
    <row r="56" spans="1:5" x14ac:dyDescent="0.25">
      <c r="A56" s="4">
        <v>45279</v>
      </c>
      <c r="B56" s="2" t="s">
        <v>14</v>
      </c>
      <c r="C56" s="10">
        <v>3</v>
      </c>
      <c r="D56" s="13">
        <v>610</v>
      </c>
      <c r="E56" s="9">
        <f t="shared" si="1"/>
        <v>1830</v>
      </c>
    </row>
    <row r="57" spans="1:5" x14ac:dyDescent="0.25">
      <c r="A57" s="4">
        <v>45322</v>
      </c>
      <c r="B57" s="2" t="s">
        <v>14</v>
      </c>
      <c r="C57" s="10">
        <v>10</v>
      </c>
      <c r="D57" s="13">
        <v>597.33000000000004</v>
      </c>
      <c r="E57" s="9">
        <f t="shared" si="1"/>
        <v>5973.3</v>
      </c>
    </row>
    <row r="58" spans="1:5" x14ac:dyDescent="0.25">
      <c r="A58" s="4">
        <v>45329</v>
      </c>
      <c r="B58" s="2" t="s">
        <v>14</v>
      </c>
      <c r="C58" s="10">
        <v>2</v>
      </c>
      <c r="D58" s="13">
        <v>583.63</v>
      </c>
      <c r="E58" s="9">
        <f t="shared" si="1"/>
        <v>1167.26</v>
      </c>
    </row>
    <row r="59" spans="1:5" x14ac:dyDescent="0.25">
      <c r="A59" s="4">
        <v>45336</v>
      </c>
      <c r="B59" s="2" t="s">
        <v>14</v>
      </c>
      <c r="C59" s="10">
        <v>1</v>
      </c>
      <c r="D59" s="13">
        <v>566.26</v>
      </c>
      <c r="E59" s="9">
        <f t="shared" si="1"/>
        <v>566.26</v>
      </c>
    </row>
    <row r="60" spans="1:5" x14ac:dyDescent="0.25">
      <c r="A60" s="4">
        <v>45264</v>
      </c>
      <c r="B60" s="2" t="s">
        <v>15</v>
      </c>
      <c r="C60" s="10">
        <v>50</v>
      </c>
      <c r="D60" s="13">
        <v>360.28</v>
      </c>
      <c r="E60" s="9">
        <f t="shared" si="1"/>
        <v>18014</v>
      </c>
    </row>
    <row r="61" spans="1:5" x14ac:dyDescent="0.25">
      <c r="A61" s="4">
        <v>45265</v>
      </c>
      <c r="B61" s="2" t="s">
        <v>15</v>
      </c>
      <c r="C61" s="10">
        <v>20</v>
      </c>
      <c r="D61" s="13">
        <v>366.78</v>
      </c>
      <c r="E61" s="9">
        <f t="shared" si="1"/>
        <v>7335.5999999999995</v>
      </c>
    </row>
    <row r="62" spans="1:5" x14ac:dyDescent="0.25">
      <c r="A62" s="4">
        <v>45419</v>
      </c>
      <c r="B62" s="2" t="s">
        <v>15</v>
      </c>
      <c r="C62" s="10">
        <v>65</v>
      </c>
      <c r="D62" s="13">
        <v>326.10000000000002</v>
      </c>
      <c r="E62" s="9">
        <f t="shared" si="1"/>
        <v>21196.5</v>
      </c>
    </row>
    <row r="63" spans="1:5" x14ac:dyDescent="0.25">
      <c r="A63" s="4">
        <v>45961</v>
      </c>
      <c r="B63" s="2" t="s">
        <v>15</v>
      </c>
      <c r="C63" s="10">
        <v>15</v>
      </c>
      <c r="D63" s="13">
        <v>424.17</v>
      </c>
      <c r="E63" s="9">
        <f t="shared" si="1"/>
        <v>6362.55</v>
      </c>
    </row>
    <row r="64" spans="1:5" x14ac:dyDescent="0.25">
      <c r="A64" s="4">
        <v>45909</v>
      </c>
      <c r="B64" s="2" t="s">
        <v>16</v>
      </c>
      <c r="C64" s="10">
        <v>300</v>
      </c>
      <c r="D64" s="13">
        <v>98.64</v>
      </c>
      <c r="E64" s="9">
        <f t="shared" si="1"/>
        <v>29592</v>
      </c>
    </row>
    <row r="65" spans="1:5" x14ac:dyDescent="0.25">
      <c r="A65" s="4">
        <v>45916</v>
      </c>
      <c r="B65" s="2" t="s">
        <v>17</v>
      </c>
      <c r="C65" s="10">
        <v>400</v>
      </c>
      <c r="D65" s="13">
        <v>75.599999999999994</v>
      </c>
      <c r="E65" s="9">
        <f t="shared" si="1"/>
        <v>30239.999999999996</v>
      </c>
    </row>
    <row r="66" spans="1:5" x14ac:dyDescent="0.25">
      <c r="A66" s="4">
        <v>45908</v>
      </c>
      <c r="B66" s="2" t="s">
        <v>18</v>
      </c>
      <c r="C66" s="10">
        <v>200</v>
      </c>
      <c r="D66" s="13">
        <v>61.45</v>
      </c>
      <c r="E66" s="9">
        <f t="shared" si="1"/>
        <v>12290</v>
      </c>
    </row>
    <row r="67" spans="1:5" x14ac:dyDescent="0.25">
      <c r="A67" s="4">
        <v>46011</v>
      </c>
      <c r="B67" s="2" t="s">
        <v>18</v>
      </c>
      <c r="C67" s="2">
        <v>300</v>
      </c>
      <c r="D67" s="2">
        <v>34.21</v>
      </c>
      <c r="E67" s="2">
        <f t="shared" ref="E67:E98" si="2">C67*D67</f>
        <v>10263</v>
      </c>
    </row>
    <row r="68" spans="1:5" x14ac:dyDescent="0.25">
      <c r="A68" s="4">
        <v>46050</v>
      </c>
      <c r="B68" s="2" t="s">
        <v>18</v>
      </c>
      <c r="C68" s="2">
        <v>100</v>
      </c>
      <c r="D68" s="2">
        <v>32.08</v>
      </c>
      <c r="E68" s="2">
        <f t="shared" si="2"/>
        <v>3208</v>
      </c>
    </row>
    <row r="69" spans="1:5" x14ac:dyDescent="0.25">
      <c r="A69" s="4">
        <v>45596</v>
      </c>
      <c r="B69" s="2" t="s">
        <v>19</v>
      </c>
      <c r="C69" s="10">
        <v>150</v>
      </c>
      <c r="D69" s="13">
        <v>97.19</v>
      </c>
      <c r="E69" s="9">
        <f t="shared" si="2"/>
        <v>14578.5</v>
      </c>
    </row>
    <row r="70" spans="1:5" x14ac:dyDescent="0.25">
      <c r="A70" s="4">
        <v>45671</v>
      </c>
      <c r="B70" s="2" t="s">
        <v>19</v>
      </c>
      <c r="C70" s="10">
        <v>130</v>
      </c>
      <c r="D70" s="13">
        <v>97.02</v>
      </c>
      <c r="E70" s="9">
        <f t="shared" si="2"/>
        <v>12612.6</v>
      </c>
    </row>
    <row r="71" spans="1:5" x14ac:dyDescent="0.25">
      <c r="A71" s="4">
        <v>45828</v>
      </c>
      <c r="B71" s="2" t="s">
        <v>19</v>
      </c>
      <c r="C71" s="10">
        <v>120</v>
      </c>
      <c r="D71" s="13">
        <v>101.9</v>
      </c>
      <c r="E71" s="9">
        <f t="shared" si="2"/>
        <v>12228</v>
      </c>
    </row>
    <row r="72" spans="1:5" x14ac:dyDescent="0.25">
      <c r="A72" s="4">
        <v>45873</v>
      </c>
      <c r="B72" s="2" t="s">
        <v>19</v>
      </c>
      <c r="C72" s="10">
        <v>100</v>
      </c>
      <c r="D72" s="13">
        <v>103.63</v>
      </c>
      <c r="E72" s="9">
        <f t="shared" si="2"/>
        <v>10363</v>
      </c>
    </row>
    <row r="73" spans="1:5" x14ac:dyDescent="0.25">
      <c r="A73" s="4">
        <v>45631</v>
      </c>
      <c r="B73" s="2" t="s">
        <v>20</v>
      </c>
      <c r="C73" s="10">
        <v>30</v>
      </c>
      <c r="D73" s="13">
        <v>926.4</v>
      </c>
      <c r="E73" s="9">
        <f t="shared" si="2"/>
        <v>27792</v>
      </c>
    </row>
    <row r="74" spans="1:5" x14ac:dyDescent="0.25">
      <c r="A74" s="4">
        <v>45672</v>
      </c>
      <c r="B74" s="2" t="s">
        <v>20</v>
      </c>
      <c r="C74" s="10">
        <v>20</v>
      </c>
      <c r="D74" s="13">
        <v>845</v>
      </c>
      <c r="E74" s="9">
        <f t="shared" si="2"/>
        <v>16900</v>
      </c>
    </row>
    <row r="75" spans="1:5" x14ac:dyDescent="0.25">
      <c r="A75" s="4">
        <v>45870</v>
      </c>
      <c r="B75" s="2" t="s">
        <v>20</v>
      </c>
      <c r="C75" s="10">
        <v>10</v>
      </c>
      <c r="D75" s="13">
        <v>828.6</v>
      </c>
      <c r="E75" s="9">
        <f t="shared" si="2"/>
        <v>8286</v>
      </c>
    </row>
    <row r="76" spans="1:5" x14ac:dyDescent="0.25">
      <c r="A76" s="4">
        <v>45915</v>
      </c>
      <c r="B76" s="2" t="s">
        <v>20</v>
      </c>
      <c r="C76" s="10">
        <v>10</v>
      </c>
      <c r="D76" s="13">
        <v>834.5</v>
      </c>
      <c r="E76" s="9">
        <f t="shared" si="2"/>
        <v>8345</v>
      </c>
    </row>
    <row r="77" spans="1:5" x14ac:dyDescent="0.25">
      <c r="A77" s="4">
        <v>45384</v>
      </c>
      <c r="B77" s="2" t="s">
        <v>21</v>
      </c>
      <c r="C77" s="10">
        <v>10</v>
      </c>
      <c r="D77" s="13">
        <v>1396.05</v>
      </c>
      <c r="E77" s="9">
        <f t="shared" si="2"/>
        <v>13960.5</v>
      </c>
    </row>
    <row r="78" spans="1:5" x14ac:dyDescent="0.25">
      <c r="A78" s="4">
        <v>45474</v>
      </c>
      <c r="B78" s="2" t="s">
        <v>22</v>
      </c>
      <c r="C78" s="10">
        <v>20</v>
      </c>
      <c r="D78" s="13">
        <v>728.6</v>
      </c>
      <c r="E78" s="9">
        <f t="shared" si="2"/>
        <v>14572</v>
      </c>
    </row>
    <row r="79" spans="1:5" x14ac:dyDescent="0.25">
      <c r="A79" s="5">
        <v>45595</v>
      </c>
      <c r="B79" s="2" t="s">
        <v>22</v>
      </c>
      <c r="C79" s="10">
        <v>20</v>
      </c>
      <c r="D79" s="13">
        <v>691.7</v>
      </c>
      <c r="E79" s="9">
        <f t="shared" si="2"/>
        <v>13834</v>
      </c>
    </row>
    <row r="80" spans="1:5" x14ac:dyDescent="0.25">
      <c r="A80" s="5">
        <v>45846</v>
      </c>
      <c r="B80" s="2" t="s">
        <v>22</v>
      </c>
      <c r="C80" s="10">
        <v>60</v>
      </c>
      <c r="D80" s="13">
        <v>915.9</v>
      </c>
      <c r="E80" s="9">
        <f t="shared" si="2"/>
        <v>54954</v>
      </c>
    </row>
    <row r="81" spans="1:5" x14ac:dyDescent="0.25">
      <c r="A81" s="5">
        <v>45901</v>
      </c>
      <c r="B81" s="2" t="s">
        <v>22</v>
      </c>
      <c r="C81" s="10">
        <v>20</v>
      </c>
      <c r="D81" s="13">
        <v>806.8</v>
      </c>
      <c r="E81" s="9">
        <f t="shared" si="2"/>
        <v>16136</v>
      </c>
    </row>
    <row r="82" spans="1:5" x14ac:dyDescent="0.25">
      <c r="A82" s="4">
        <v>45811</v>
      </c>
      <c r="B82" s="2" t="s">
        <v>23</v>
      </c>
      <c r="C82" s="10">
        <v>100</v>
      </c>
      <c r="D82" s="13">
        <v>399.8</v>
      </c>
      <c r="E82" s="9">
        <f t="shared" si="2"/>
        <v>39980</v>
      </c>
    </row>
    <row r="83" spans="1:5" x14ac:dyDescent="0.25">
      <c r="A83" s="6">
        <v>45812</v>
      </c>
      <c r="B83" s="2" t="s">
        <v>23</v>
      </c>
      <c r="C83" s="10">
        <v>100</v>
      </c>
      <c r="D83" s="13">
        <v>402.31</v>
      </c>
      <c r="E83" s="9">
        <f t="shared" si="2"/>
        <v>40231</v>
      </c>
    </row>
    <row r="84" spans="1:5" x14ac:dyDescent="0.25">
      <c r="A84" s="4">
        <v>45448</v>
      </c>
      <c r="B84" s="2" t="s">
        <v>24</v>
      </c>
      <c r="C84" s="10">
        <v>25</v>
      </c>
      <c r="D84" s="13">
        <v>768.45</v>
      </c>
      <c r="E84" s="9">
        <f t="shared" si="2"/>
        <v>19211.25</v>
      </c>
    </row>
    <row r="85" spans="1:5" x14ac:dyDescent="0.25">
      <c r="A85" s="4">
        <v>45520</v>
      </c>
      <c r="B85" s="2" t="s">
        <v>24</v>
      </c>
      <c r="C85" s="10">
        <v>30</v>
      </c>
      <c r="D85" s="13">
        <v>812.4</v>
      </c>
      <c r="E85" s="9">
        <f t="shared" si="2"/>
        <v>24372</v>
      </c>
    </row>
    <row r="86" spans="1:5" x14ac:dyDescent="0.25">
      <c r="A86" s="4">
        <v>45554</v>
      </c>
      <c r="B86" s="2" t="s">
        <v>24</v>
      </c>
      <c r="C86" s="10">
        <v>30</v>
      </c>
      <c r="D86" s="13">
        <v>797.5</v>
      </c>
      <c r="E86" s="9">
        <f t="shared" si="2"/>
        <v>23925</v>
      </c>
    </row>
    <row r="87" spans="1:5" x14ac:dyDescent="0.25">
      <c r="A87" s="6">
        <v>45595</v>
      </c>
      <c r="B87" s="2" t="s">
        <v>24</v>
      </c>
      <c r="C87" s="10">
        <v>15</v>
      </c>
      <c r="D87" s="13">
        <v>830</v>
      </c>
      <c r="E87" s="9">
        <f t="shared" si="2"/>
        <v>12450</v>
      </c>
    </row>
    <row r="88" spans="1:5" x14ac:dyDescent="0.25">
      <c r="A88" s="5">
        <v>45398</v>
      </c>
      <c r="B88" s="2" t="s">
        <v>25</v>
      </c>
      <c r="C88" s="10">
        <v>777</v>
      </c>
      <c r="D88" s="13">
        <v>64.03</v>
      </c>
      <c r="E88" s="9">
        <f t="shared" si="2"/>
        <v>49751.31</v>
      </c>
    </row>
    <row r="89" spans="1:5" x14ac:dyDescent="0.25">
      <c r="A89" s="4">
        <v>45454</v>
      </c>
      <c r="B89" s="2" t="s">
        <v>25</v>
      </c>
      <c r="C89" s="10">
        <v>841</v>
      </c>
      <c r="D89" s="13">
        <v>62.15</v>
      </c>
      <c r="E89" s="9">
        <f t="shared" si="2"/>
        <v>52268.15</v>
      </c>
    </row>
    <row r="90" spans="1:5" x14ac:dyDescent="0.25">
      <c r="A90" s="5">
        <v>45511</v>
      </c>
      <c r="B90" s="2" t="s">
        <v>25</v>
      </c>
      <c r="C90" s="10">
        <v>1671</v>
      </c>
      <c r="D90" s="13">
        <v>59.87</v>
      </c>
      <c r="E90" s="9">
        <f t="shared" si="2"/>
        <v>100042.76999999999</v>
      </c>
    </row>
    <row r="91" spans="1:5" x14ac:dyDescent="0.25">
      <c r="A91" s="5">
        <v>45607</v>
      </c>
      <c r="B91" s="2" t="s">
        <v>25</v>
      </c>
      <c r="C91" s="10">
        <v>1500</v>
      </c>
      <c r="D91" s="13">
        <v>66.64</v>
      </c>
      <c r="E91" s="9">
        <f t="shared" si="2"/>
        <v>99960</v>
      </c>
    </row>
    <row r="92" spans="1:5" x14ac:dyDescent="0.25">
      <c r="A92" s="5">
        <v>45771</v>
      </c>
      <c r="B92" s="2" t="s">
        <v>25</v>
      </c>
      <c r="C92" s="10">
        <v>711</v>
      </c>
      <c r="D92" s="13">
        <v>83.03</v>
      </c>
      <c r="E92" s="9">
        <f t="shared" si="2"/>
        <v>59034.33</v>
      </c>
    </row>
    <row r="93" spans="1:5" x14ac:dyDescent="0.25">
      <c r="A93" s="5">
        <v>45779</v>
      </c>
      <c r="B93" s="2" t="s">
        <v>25</v>
      </c>
      <c r="C93" s="10">
        <v>400</v>
      </c>
      <c r="D93" s="13">
        <v>80.38</v>
      </c>
      <c r="E93" s="9">
        <f t="shared" si="2"/>
        <v>32152</v>
      </c>
    </row>
    <row r="94" spans="1:5" x14ac:dyDescent="0.25">
      <c r="A94" s="5">
        <v>45791</v>
      </c>
      <c r="B94" s="2" t="s">
        <v>25</v>
      </c>
      <c r="C94" s="10">
        <v>500</v>
      </c>
      <c r="D94" s="13">
        <v>80.930000000000007</v>
      </c>
      <c r="E94" s="9">
        <f t="shared" si="2"/>
        <v>40465</v>
      </c>
    </row>
    <row r="95" spans="1:5" x14ac:dyDescent="0.25">
      <c r="A95" s="5">
        <v>45908</v>
      </c>
      <c r="B95" s="2" t="s">
        <v>25</v>
      </c>
      <c r="C95" s="10">
        <v>100</v>
      </c>
      <c r="D95" s="13">
        <v>92.6</v>
      </c>
      <c r="E95" s="9">
        <f t="shared" si="2"/>
        <v>9260</v>
      </c>
    </row>
    <row r="96" spans="1:5" x14ac:dyDescent="0.25">
      <c r="A96" s="4">
        <v>45930</v>
      </c>
      <c r="B96" s="2" t="s">
        <v>25</v>
      </c>
      <c r="C96" s="10">
        <v>100</v>
      </c>
      <c r="D96" s="13">
        <v>100.33</v>
      </c>
      <c r="E96" s="9">
        <f t="shared" si="2"/>
        <v>10033</v>
      </c>
    </row>
    <row r="97" spans="1:5" x14ac:dyDescent="0.25">
      <c r="A97" s="4">
        <v>45940</v>
      </c>
      <c r="B97" s="2" t="s">
        <v>25</v>
      </c>
      <c r="C97" s="10">
        <v>100</v>
      </c>
      <c r="D97" s="13">
        <v>102.89</v>
      </c>
      <c r="E97" s="9">
        <f t="shared" si="2"/>
        <v>10289</v>
      </c>
    </row>
    <row r="98" spans="1:5" x14ac:dyDescent="0.25">
      <c r="A98" s="4">
        <v>45961</v>
      </c>
      <c r="B98" s="2" t="s">
        <v>25</v>
      </c>
      <c r="C98" s="10">
        <v>100</v>
      </c>
      <c r="D98" s="13">
        <v>102.97</v>
      </c>
      <c r="E98" s="9">
        <f t="shared" si="2"/>
        <v>10297</v>
      </c>
    </row>
    <row r="99" spans="1:5" x14ac:dyDescent="0.25">
      <c r="A99" s="4">
        <v>46044</v>
      </c>
      <c r="B99" s="2" t="s">
        <v>25</v>
      </c>
      <c r="C99" s="2">
        <v>700</v>
      </c>
      <c r="D99" s="2">
        <v>129.26</v>
      </c>
      <c r="E99" s="2">
        <f t="shared" ref="E99:E130" si="3">C99*D99</f>
        <v>90482</v>
      </c>
    </row>
    <row r="100" spans="1:5" x14ac:dyDescent="0.25">
      <c r="A100" s="4">
        <v>45615</v>
      </c>
      <c r="B100" s="2" t="s">
        <v>26</v>
      </c>
      <c r="C100" s="10">
        <v>50</v>
      </c>
      <c r="D100" s="13">
        <v>250.99</v>
      </c>
      <c r="E100" s="9">
        <f t="shared" si="3"/>
        <v>12549.5</v>
      </c>
    </row>
    <row r="101" spans="1:5" x14ac:dyDescent="0.25">
      <c r="A101" s="5">
        <v>45721</v>
      </c>
      <c r="B101" s="2" t="s">
        <v>26</v>
      </c>
      <c r="C101" s="10">
        <v>100</v>
      </c>
      <c r="D101" s="13">
        <v>236.44</v>
      </c>
      <c r="E101" s="9">
        <f t="shared" si="3"/>
        <v>23644</v>
      </c>
    </row>
    <row r="102" spans="1:5" x14ac:dyDescent="0.25">
      <c r="A102" s="4">
        <v>45222</v>
      </c>
      <c r="B102" s="2" t="s">
        <v>27</v>
      </c>
      <c r="C102" s="10">
        <v>1</v>
      </c>
      <c r="D102" s="13">
        <v>464.86</v>
      </c>
      <c r="E102" s="9">
        <f t="shared" si="3"/>
        <v>464.86</v>
      </c>
    </row>
    <row r="103" spans="1:5" x14ac:dyDescent="0.25">
      <c r="A103" s="4">
        <v>45645</v>
      </c>
      <c r="B103" s="2" t="s">
        <v>27</v>
      </c>
      <c r="C103" s="10">
        <v>11</v>
      </c>
      <c r="D103" s="13">
        <v>747.8</v>
      </c>
      <c r="E103" s="9">
        <f t="shared" si="3"/>
        <v>8225.7999999999993</v>
      </c>
    </row>
    <row r="104" spans="1:5" x14ac:dyDescent="0.25">
      <c r="A104" s="4">
        <v>45663</v>
      </c>
      <c r="B104" s="2" t="s">
        <v>27</v>
      </c>
      <c r="C104" s="10">
        <v>13</v>
      </c>
      <c r="D104" s="13">
        <v>710</v>
      </c>
      <c r="E104" s="9">
        <f t="shared" si="3"/>
        <v>9230</v>
      </c>
    </row>
    <row r="105" spans="1:5" x14ac:dyDescent="0.25">
      <c r="A105" s="4">
        <v>45721</v>
      </c>
      <c r="B105" s="2" t="s">
        <v>27</v>
      </c>
      <c r="C105" s="10">
        <v>45</v>
      </c>
      <c r="D105" s="13">
        <v>626.28</v>
      </c>
      <c r="E105" s="9">
        <f t="shared" si="3"/>
        <v>28182.6</v>
      </c>
    </row>
    <row r="106" spans="1:5" x14ac:dyDescent="0.25">
      <c r="A106" s="4">
        <v>45930</v>
      </c>
      <c r="B106" s="2" t="s">
        <v>27</v>
      </c>
      <c r="C106" s="10">
        <v>30</v>
      </c>
      <c r="D106" s="13">
        <v>722.97</v>
      </c>
      <c r="E106" s="9">
        <f t="shared" si="3"/>
        <v>21689.100000000002</v>
      </c>
    </row>
    <row r="107" spans="1:5" x14ac:dyDescent="0.25">
      <c r="A107" s="7" t="s">
        <v>128</v>
      </c>
      <c r="B107" s="2" t="s">
        <v>28</v>
      </c>
      <c r="C107" s="10">
        <v>16</v>
      </c>
      <c r="D107" s="12">
        <v>6213</v>
      </c>
      <c r="E107" s="9">
        <f t="shared" si="3"/>
        <v>99408</v>
      </c>
    </row>
    <row r="108" spans="1:5" x14ac:dyDescent="0.25">
      <c r="A108" s="6">
        <v>45484</v>
      </c>
      <c r="B108" s="2" t="s">
        <v>29</v>
      </c>
      <c r="C108" s="10">
        <v>20</v>
      </c>
      <c r="D108" s="13">
        <v>617</v>
      </c>
      <c r="E108" s="9">
        <f t="shared" si="3"/>
        <v>12340</v>
      </c>
    </row>
    <row r="109" spans="1:5" x14ac:dyDescent="0.25">
      <c r="A109" s="6">
        <v>45734</v>
      </c>
      <c r="B109" s="2" t="s">
        <v>29</v>
      </c>
      <c r="C109" s="10">
        <v>30</v>
      </c>
      <c r="D109" s="13">
        <v>356.2</v>
      </c>
      <c r="E109" s="9">
        <f t="shared" si="3"/>
        <v>10686</v>
      </c>
    </row>
    <row r="110" spans="1:5" x14ac:dyDescent="0.25">
      <c r="A110" s="4">
        <v>45723</v>
      </c>
      <c r="B110" s="2" t="s">
        <v>30</v>
      </c>
      <c r="C110" s="10">
        <v>100</v>
      </c>
      <c r="D110" s="13">
        <v>357.2</v>
      </c>
      <c r="E110" s="9">
        <f t="shared" si="3"/>
        <v>35720</v>
      </c>
    </row>
    <row r="111" spans="1:5" x14ac:dyDescent="0.25">
      <c r="A111" s="4">
        <v>46036</v>
      </c>
      <c r="B111" s="2" t="s">
        <v>30</v>
      </c>
      <c r="C111" s="10">
        <v>20</v>
      </c>
      <c r="D111" s="13">
        <v>367.4</v>
      </c>
      <c r="E111" s="9">
        <f t="shared" si="3"/>
        <v>7348</v>
      </c>
    </row>
    <row r="112" spans="1:5" x14ac:dyDescent="0.25">
      <c r="A112" s="4">
        <v>46038</v>
      </c>
      <c r="B112" s="2" t="s">
        <v>30</v>
      </c>
      <c r="C112" s="10">
        <v>5</v>
      </c>
      <c r="D112" s="13">
        <v>366.1</v>
      </c>
      <c r="E112" s="9">
        <f t="shared" si="3"/>
        <v>1830.5</v>
      </c>
    </row>
    <row r="113" spans="1:5" x14ac:dyDescent="0.25">
      <c r="A113" s="4">
        <v>45818</v>
      </c>
      <c r="B113" s="2" t="s">
        <v>32</v>
      </c>
      <c r="C113" s="10">
        <v>20</v>
      </c>
      <c r="D113" s="13">
        <v>3452.85</v>
      </c>
      <c r="E113" s="9">
        <f t="shared" si="3"/>
        <v>69057</v>
      </c>
    </row>
    <row r="114" spans="1:5" x14ac:dyDescent="0.25">
      <c r="A114" s="4">
        <v>45457</v>
      </c>
      <c r="B114" s="2" t="s">
        <v>33</v>
      </c>
      <c r="C114" s="10">
        <v>321</v>
      </c>
      <c r="D114" s="13">
        <v>49.97</v>
      </c>
      <c r="E114" s="9">
        <f t="shared" si="3"/>
        <v>16040.369999999999</v>
      </c>
    </row>
    <row r="115" spans="1:5" x14ac:dyDescent="0.25">
      <c r="A115" s="6">
        <v>45666</v>
      </c>
      <c r="B115" s="2" t="s">
        <v>33</v>
      </c>
      <c r="C115" s="10">
        <v>329</v>
      </c>
      <c r="D115" s="13">
        <v>36.08</v>
      </c>
      <c r="E115" s="9">
        <f t="shared" si="3"/>
        <v>11870.32</v>
      </c>
    </row>
    <row r="116" spans="1:5" x14ac:dyDescent="0.25">
      <c r="A116" s="6">
        <v>45908</v>
      </c>
      <c r="B116" s="2" t="s">
        <v>33</v>
      </c>
      <c r="C116" s="10">
        <v>150</v>
      </c>
      <c r="D116" s="13">
        <v>44.09</v>
      </c>
      <c r="E116" s="9">
        <f t="shared" si="3"/>
        <v>6613.5000000000009</v>
      </c>
    </row>
    <row r="117" spans="1:5" x14ac:dyDescent="0.25">
      <c r="A117" s="4">
        <v>45917</v>
      </c>
      <c r="B117" s="2" t="s">
        <v>34</v>
      </c>
      <c r="C117" s="10">
        <v>50</v>
      </c>
      <c r="D117" s="13">
        <v>466.75</v>
      </c>
      <c r="E117" s="9">
        <f t="shared" si="3"/>
        <v>23337.5</v>
      </c>
    </row>
    <row r="118" spans="1:5" x14ac:dyDescent="0.25">
      <c r="A118" s="4">
        <v>45959</v>
      </c>
      <c r="B118" s="2" t="s">
        <v>34</v>
      </c>
      <c r="C118" s="10">
        <v>50</v>
      </c>
      <c r="D118" s="13">
        <v>486.1</v>
      </c>
      <c r="E118" s="9">
        <f t="shared" si="3"/>
        <v>24305</v>
      </c>
    </row>
    <row r="119" spans="1:5" x14ac:dyDescent="0.25">
      <c r="A119" s="5">
        <v>45688</v>
      </c>
      <c r="B119" s="2" t="s">
        <v>35</v>
      </c>
      <c r="C119" s="10">
        <v>10</v>
      </c>
      <c r="D119" s="13">
        <v>1248.9000000000001</v>
      </c>
      <c r="E119" s="9">
        <f t="shared" si="3"/>
        <v>12489</v>
      </c>
    </row>
    <row r="120" spans="1:5" x14ac:dyDescent="0.25">
      <c r="A120" s="5">
        <v>45689</v>
      </c>
      <c r="B120" s="2" t="s">
        <v>35</v>
      </c>
      <c r="C120" s="10">
        <v>10</v>
      </c>
      <c r="D120" s="13">
        <v>1305</v>
      </c>
      <c r="E120" s="9">
        <f t="shared" si="3"/>
        <v>13050</v>
      </c>
    </row>
    <row r="121" spans="1:5" x14ac:dyDescent="0.25">
      <c r="A121" s="5">
        <v>45805</v>
      </c>
      <c r="B121" s="2" t="s">
        <v>35</v>
      </c>
      <c r="C121" s="10">
        <v>30</v>
      </c>
      <c r="D121" s="12">
        <v>1257.5</v>
      </c>
      <c r="E121" s="9">
        <f t="shared" si="3"/>
        <v>37725</v>
      </c>
    </row>
    <row r="122" spans="1:5" x14ac:dyDescent="0.25">
      <c r="A122" s="4">
        <v>45923</v>
      </c>
      <c r="B122" s="2" t="s">
        <v>41</v>
      </c>
      <c r="C122" s="10">
        <v>25</v>
      </c>
      <c r="D122" s="13">
        <v>1327.3</v>
      </c>
      <c r="E122" s="9">
        <f t="shared" si="3"/>
        <v>33182.5</v>
      </c>
    </row>
    <row r="123" spans="1:5" x14ac:dyDescent="0.25">
      <c r="A123" s="4">
        <v>46036</v>
      </c>
      <c r="B123" s="2" t="s">
        <v>41</v>
      </c>
      <c r="C123" s="10">
        <v>15</v>
      </c>
      <c r="D123" s="13">
        <v>1340.9</v>
      </c>
      <c r="E123" s="9">
        <f t="shared" si="3"/>
        <v>20113.5</v>
      </c>
    </row>
    <row r="124" spans="1:5" x14ac:dyDescent="0.25">
      <c r="A124" s="4">
        <v>45924</v>
      </c>
      <c r="B124" s="2" t="s">
        <v>42</v>
      </c>
      <c r="C124" s="10">
        <v>25</v>
      </c>
      <c r="D124" s="13">
        <v>901.35</v>
      </c>
      <c r="E124" s="9">
        <f t="shared" si="3"/>
        <v>22533.75</v>
      </c>
    </row>
    <row r="125" spans="1:5" x14ac:dyDescent="0.25">
      <c r="A125" s="4">
        <v>45972</v>
      </c>
      <c r="B125" s="2" t="s">
        <v>42</v>
      </c>
      <c r="C125" s="10">
        <v>10</v>
      </c>
      <c r="D125" s="13">
        <v>761.3</v>
      </c>
      <c r="E125" s="9">
        <f t="shared" si="3"/>
        <v>7613</v>
      </c>
    </row>
    <row r="126" spans="1:5" x14ac:dyDescent="0.25">
      <c r="A126" s="4">
        <v>46052</v>
      </c>
      <c r="B126" s="2" t="s">
        <v>42</v>
      </c>
      <c r="C126" s="2">
        <v>15</v>
      </c>
      <c r="D126" s="2">
        <v>666.37</v>
      </c>
      <c r="E126" s="2">
        <f t="shared" si="3"/>
        <v>9995.5499999999993</v>
      </c>
    </row>
    <row r="127" spans="1:5" x14ac:dyDescent="0.25">
      <c r="A127" s="4">
        <v>45945</v>
      </c>
      <c r="B127" s="2" t="s">
        <v>44</v>
      </c>
      <c r="C127" s="10">
        <v>1000</v>
      </c>
      <c r="D127" s="13">
        <v>108.97</v>
      </c>
      <c r="E127" s="9">
        <f t="shared" si="3"/>
        <v>108970</v>
      </c>
    </row>
    <row r="128" spans="1:5" x14ac:dyDescent="0.25">
      <c r="A128" s="5">
        <v>45953</v>
      </c>
      <c r="B128" s="2" t="s">
        <v>45</v>
      </c>
      <c r="C128" s="10">
        <v>100</v>
      </c>
      <c r="D128" s="13">
        <v>100.74</v>
      </c>
      <c r="E128" s="9">
        <f t="shared" si="3"/>
        <v>10074</v>
      </c>
    </row>
    <row r="129" spans="1:5" x14ac:dyDescent="0.25">
      <c r="A129" s="5">
        <v>45958</v>
      </c>
      <c r="B129" s="2" t="s">
        <v>45</v>
      </c>
      <c r="C129" s="10">
        <v>100</v>
      </c>
      <c r="D129" s="13">
        <v>96.92</v>
      </c>
      <c r="E129" s="9">
        <f t="shared" si="3"/>
        <v>9692</v>
      </c>
    </row>
    <row r="130" spans="1:5" x14ac:dyDescent="0.25">
      <c r="A130" s="5">
        <v>45967</v>
      </c>
      <c r="B130" s="2" t="s">
        <v>45</v>
      </c>
      <c r="C130" s="10">
        <v>100</v>
      </c>
      <c r="D130" s="13">
        <v>99.53</v>
      </c>
      <c r="E130" s="9">
        <f t="shared" si="3"/>
        <v>9953</v>
      </c>
    </row>
    <row r="131" spans="1:5" x14ac:dyDescent="0.25">
      <c r="A131" s="5">
        <v>45968</v>
      </c>
      <c r="B131" s="2" t="s">
        <v>45</v>
      </c>
      <c r="C131" s="10">
        <v>100</v>
      </c>
      <c r="D131" s="13">
        <v>99.98</v>
      </c>
      <c r="E131" s="9">
        <f t="shared" ref="E131:E149" si="4">C131*D131</f>
        <v>9998</v>
      </c>
    </row>
    <row r="132" spans="1:5" x14ac:dyDescent="0.25">
      <c r="A132" s="5">
        <v>45971</v>
      </c>
      <c r="B132" s="2" t="s">
        <v>45</v>
      </c>
      <c r="C132" s="10">
        <v>100</v>
      </c>
      <c r="D132" s="13">
        <v>101.76</v>
      </c>
      <c r="E132" s="9">
        <f t="shared" si="4"/>
        <v>10176</v>
      </c>
    </row>
    <row r="133" spans="1:5" x14ac:dyDescent="0.25">
      <c r="A133" s="5">
        <v>45659</v>
      </c>
      <c r="B133" s="2" t="s">
        <v>45</v>
      </c>
      <c r="C133" s="10">
        <v>100</v>
      </c>
      <c r="D133" s="13">
        <v>122.6</v>
      </c>
      <c r="E133" s="9">
        <f t="shared" si="4"/>
        <v>12260</v>
      </c>
    </row>
    <row r="134" spans="1:5" x14ac:dyDescent="0.25">
      <c r="A134" s="5">
        <v>45660</v>
      </c>
      <c r="B134" s="2" t="s">
        <v>45</v>
      </c>
      <c r="C134" s="10">
        <v>100</v>
      </c>
      <c r="D134" s="13">
        <v>118.67</v>
      </c>
      <c r="E134" s="9">
        <f t="shared" si="4"/>
        <v>11867</v>
      </c>
    </row>
    <row r="135" spans="1:5" x14ac:dyDescent="0.25">
      <c r="A135" s="4">
        <v>45961</v>
      </c>
      <c r="B135" s="2" t="s">
        <v>46</v>
      </c>
      <c r="C135" s="10">
        <v>200</v>
      </c>
      <c r="D135" s="13">
        <v>138.77000000000001</v>
      </c>
      <c r="E135" s="9">
        <f t="shared" si="4"/>
        <v>27754.000000000004</v>
      </c>
    </row>
    <row r="136" spans="1:5" x14ac:dyDescent="0.25">
      <c r="A136" s="4">
        <v>44789</v>
      </c>
      <c r="B136" s="2" t="s">
        <v>47</v>
      </c>
      <c r="C136" s="10">
        <v>5</v>
      </c>
      <c r="D136" s="12">
        <v>1792</v>
      </c>
      <c r="E136" s="9">
        <f t="shared" si="4"/>
        <v>8960</v>
      </c>
    </row>
    <row r="137" spans="1:5" x14ac:dyDescent="0.25">
      <c r="A137" s="4">
        <v>44789</v>
      </c>
      <c r="B137" s="2" t="s">
        <v>48</v>
      </c>
      <c r="C137" s="10">
        <v>20</v>
      </c>
      <c r="D137" s="13">
        <v>31.57</v>
      </c>
      <c r="E137" s="9">
        <f t="shared" si="4"/>
        <v>631.4</v>
      </c>
    </row>
    <row r="138" spans="1:5" x14ac:dyDescent="0.25">
      <c r="A138" s="4">
        <v>45980</v>
      </c>
      <c r="B138" s="2" t="s">
        <v>102</v>
      </c>
      <c r="C138" s="2">
        <v>65</v>
      </c>
      <c r="D138" s="12">
        <v>616</v>
      </c>
      <c r="E138" s="9">
        <f t="shared" si="4"/>
        <v>40040</v>
      </c>
    </row>
    <row r="139" spans="1:5" x14ac:dyDescent="0.25">
      <c r="A139" s="4">
        <v>45985</v>
      </c>
      <c r="B139" s="2" t="s">
        <v>102</v>
      </c>
      <c r="C139" s="2">
        <v>5</v>
      </c>
      <c r="D139" s="12">
        <v>571.25</v>
      </c>
      <c r="E139" s="9">
        <f t="shared" si="4"/>
        <v>2856.25</v>
      </c>
    </row>
    <row r="140" spans="1:5" x14ac:dyDescent="0.25">
      <c r="A140" s="4">
        <v>46002</v>
      </c>
      <c r="B140" s="2" t="s">
        <v>102</v>
      </c>
      <c r="C140" s="2">
        <v>30</v>
      </c>
      <c r="D140" s="12">
        <v>514.25</v>
      </c>
      <c r="E140" s="9">
        <f t="shared" si="4"/>
        <v>15427.5</v>
      </c>
    </row>
    <row r="141" spans="1:5" x14ac:dyDescent="0.25">
      <c r="A141" s="4">
        <v>45994</v>
      </c>
      <c r="B141" s="2" t="s">
        <v>106</v>
      </c>
      <c r="C141" s="2">
        <v>50</v>
      </c>
      <c r="D141" s="12">
        <v>665.5</v>
      </c>
      <c r="E141" s="9">
        <f t="shared" si="4"/>
        <v>33275</v>
      </c>
    </row>
    <row r="142" spans="1:5" x14ac:dyDescent="0.25">
      <c r="A142" s="4">
        <v>46036</v>
      </c>
      <c r="B142" s="2" t="s">
        <v>119</v>
      </c>
      <c r="C142" s="2">
        <v>200</v>
      </c>
      <c r="D142" s="12">
        <v>105.18</v>
      </c>
      <c r="E142" s="9">
        <f t="shared" si="4"/>
        <v>21036</v>
      </c>
    </row>
    <row r="143" spans="1:5" x14ac:dyDescent="0.25">
      <c r="A143" s="4">
        <v>46052</v>
      </c>
      <c r="B143" s="2" t="s">
        <v>119</v>
      </c>
      <c r="C143" s="2">
        <v>200</v>
      </c>
      <c r="D143" s="2">
        <v>99.39</v>
      </c>
      <c r="E143" s="2">
        <f t="shared" si="4"/>
        <v>19878</v>
      </c>
    </row>
    <row r="144" spans="1:5" x14ac:dyDescent="0.25">
      <c r="A144" s="4">
        <v>46038</v>
      </c>
      <c r="B144" s="2" t="s">
        <v>120</v>
      </c>
      <c r="C144" s="2">
        <v>15</v>
      </c>
      <c r="D144" s="12">
        <v>2326.6999999999998</v>
      </c>
      <c r="E144" s="9">
        <f t="shared" si="4"/>
        <v>34900.5</v>
      </c>
    </row>
    <row r="145" spans="1:5" x14ac:dyDescent="0.25">
      <c r="A145" s="4">
        <v>46038</v>
      </c>
      <c r="B145" s="2" t="s">
        <v>121</v>
      </c>
      <c r="C145" s="2">
        <v>35</v>
      </c>
      <c r="D145" s="2">
        <v>1037.8</v>
      </c>
      <c r="E145" s="9">
        <f t="shared" si="4"/>
        <v>36323</v>
      </c>
    </row>
    <row r="146" spans="1:5" x14ac:dyDescent="0.25">
      <c r="A146" s="4">
        <v>46052</v>
      </c>
      <c r="B146" s="2" t="s">
        <v>121</v>
      </c>
      <c r="C146" s="2">
        <v>15</v>
      </c>
      <c r="D146" s="9">
        <v>951.3</v>
      </c>
      <c r="E146" s="9">
        <f t="shared" si="4"/>
        <v>14269.5</v>
      </c>
    </row>
    <row r="147" spans="1:5" x14ac:dyDescent="0.25">
      <c r="A147" s="4">
        <v>46058</v>
      </c>
      <c r="B147" s="2" t="s">
        <v>126</v>
      </c>
      <c r="C147" s="2">
        <v>100</v>
      </c>
      <c r="D147" s="9">
        <v>23.48</v>
      </c>
      <c r="E147" s="9">
        <f>C147*D147</f>
        <v>2348</v>
      </c>
    </row>
    <row r="148" spans="1:5" x14ac:dyDescent="0.25">
      <c r="A148" s="4">
        <v>46065</v>
      </c>
      <c r="B148" s="2" t="s">
        <v>126</v>
      </c>
      <c r="C148" s="2">
        <v>40</v>
      </c>
      <c r="D148" s="9">
        <v>25</v>
      </c>
      <c r="E148" s="9">
        <f>C148*D148</f>
        <v>1000</v>
      </c>
    </row>
    <row r="149" spans="1:5" x14ac:dyDescent="0.25">
      <c r="A149" s="4">
        <v>46064</v>
      </c>
      <c r="B149" s="2" t="s">
        <v>127</v>
      </c>
      <c r="C149" s="2">
        <v>1400</v>
      </c>
      <c r="D149" s="9">
        <v>29.01</v>
      </c>
      <c r="E149" s="9">
        <f t="shared" si="4"/>
        <v>40614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7FB6-7343-4638-AF8E-E7E38DF71621}">
  <dimension ref="A1:E49"/>
  <sheetViews>
    <sheetView topLeftCell="A19" workbookViewId="0">
      <selection activeCell="I50" sqref="I50"/>
    </sheetView>
  </sheetViews>
  <sheetFormatPr defaultRowHeight="15" x14ac:dyDescent="0.25"/>
  <cols>
    <col min="1" max="1" width="14" bestFit="1" customWidth="1"/>
    <col min="2" max="2" width="5" bestFit="1" customWidth="1"/>
    <col min="5" max="5" width="10" bestFit="1" customWidth="1"/>
    <col min="10" max="10" width="10" bestFit="1" customWidth="1"/>
  </cols>
  <sheetData>
    <row r="1" spans="1:5" x14ac:dyDescent="0.25">
      <c r="A1" t="s">
        <v>110</v>
      </c>
      <c r="B1" t="s">
        <v>111</v>
      </c>
      <c r="C1" t="s">
        <v>112</v>
      </c>
      <c r="D1" t="s">
        <v>122</v>
      </c>
      <c r="E1" t="s">
        <v>113</v>
      </c>
    </row>
    <row r="2" spans="1:5" x14ac:dyDescent="0.25">
      <c r="A2" t="s">
        <v>13</v>
      </c>
      <c r="B2">
        <v>300</v>
      </c>
      <c r="C2">
        <v>392.57</v>
      </c>
      <c r="D2">
        <v>323.45</v>
      </c>
      <c r="E2">
        <v>117769.7</v>
      </c>
    </row>
    <row r="3" spans="1:5" x14ac:dyDescent="0.25">
      <c r="A3" t="s">
        <v>14</v>
      </c>
      <c r="B3">
        <v>20</v>
      </c>
      <c r="C3">
        <v>593.72</v>
      </c>
      <c r="D3">
        <v>182.1</v>
      </c>
      <c r="E3">
        <v>11874.35</v>
      </c>
    </row>
    <row r="4" spans="1:5" x14ac:dyDescent="0.25">
      <c r="A4" t="s">
        <v>42</v>
      </c>
      <c r="B4">
        <v>35</v>
      </c>
      <c r="C4">
        <v>861.34</v>
      </c>
      <c r="D4">
        <v>632</v>
      </c>
      <c r="E4">
        <v>30146.75</v>
      </c>
    </row>
    <row r="5" spans="1:5" x14ac:dyDescent="0.25">
      <c r="A5" t="s">
        <v>116</v>
      </c>
      <c r="B5">
        <v>100</v>
      </c>
      <c r="C5">
        <v>583.25</v>
      </c>
      <c r="D5">
        <v>503.25</v>
      </c>
      <c r="E5">
        <v>58325</v>
      </c>
    </row>
    <row r="6" spans="1:5" x14ac:dyDescent="0.25">
      <c r="A6" t="s">
        <v>29</v>
      </c>
      <c r="B6">
        <v>50</v>
      </c>
      <c r="C6">
        <v>460.52</v>
      </c>
      <c r="D6">
        <v>309</v>
      </c>
      <c r="E6">
        <v>23026</v>
      </c>
    </row>
    <row r="7" spans="1:5" x14ac:dyDescent="0.25">
      <c r="A7" t="s">
        <v>22</v>
      </c>
      <c r="B7">
        <v>120</v>
      </c>
      <c r="C7">
        <v>829.13</v>
      </c>
      <c r="D7">
        <v>770.75</v>
      </c>
      <c r="E7">
        <v>99495.1</v>
      </c>
    </row>
    <row r="8" spans="1:5" x14ac:dyDescent="0.25">
      <c r="A8" t="s">
        <v>7</v>
      </c>
      <c r="B8">
        <v>30</v>
      </c>
      <c r="C8">
        <v>1506.07</v>
      </c>
      <c r="D8">
        <v>1285.1500000000001</v>
      </c>
      <c r="E8">
        <v>45182</v>
      </c>
    </row>
    <row r="9" spans="1:5" x14ac:dyDescent="0.25">
      <c r="A9" t="s">
        <v>114</v>
      </c>
      <c r="B9">
        <v>500</v>
      </c>
      <c r="C9">
        <v>45.11</v>
      </c>
      <c r="D9">
        <v>31.95</v>
      </c>
      <c r="E9">
        <v>22552.78</v>
      </c>
    </row>
    <row r="10" spans="1:5" x14ac:dyDescent="0.25">
      <c r="A10" t="s">
        <v>5</v>
      </c>
      <c r="B10">
        <v>1500</v>
      </c>
      <c r="C10">
        <v>59.59</v>
      </c>
      <c r="D10">
        <v>55.44</v>
      </c>
      <c r="E10">
        <v>89391.3</v>
      </c>
    </row>
    <row r="11" spans="1:5" x14ac:dyDescent="0.25">
      <c r="A11" t="s">
        <v>32</v>
      </c>
      <c r="B11">
        <v>20</v>
      </c>
      <c r="C11">
        <v>3452.85</v>
      </c>
      <c r="D11">
        <v>3160.85</v>
      </c>
      <c r="E11">
        <v>69057</v>
      </c>
    </row>
    <row r="12" spans="1:5" x14ac:dyDescent="0.25">
      <c r="A12" t="s">
        <v>117</v>
      </c>
      <c r="B12">
        <v>50</v>
      </c>
      <c r="C12">
        <v>665.5</v>
      </c>
      <c r="D12">
        <v>551</v>
      </c>
      <c r="E12">
        <v>33275</v>
      </c>
    </row>
    <row r="13" spans="1:5" x14ac:dyDescent="0.25">
      <c r="A13" t="s">
        <v>1</v>
      </c>
      <c r="B13">
        <v>100</v>
      </c>
      <c r="C13">
        <v>205.3</v>
      </c>
      <c r="D13">
        <v>149.35</v>
      </c>
      <c r="E13">
        <v>20530.3</v>
      </c>
    </row>
    <row r="14" spans="1:5" x14ac:dyDescent="0.25">
      <c r="A14" t="s">
        <v>21</v>
      </c>
      <c r="B14">
        <v>10</v>
      </c>
      <c r="C14">
        <v>1396.05</v>
      </c>
      <c r="D14">
        <v>927.1</v>
      </c>
      <c r="E14">
        <v>13960.5</v>
      </c>
    </row>
    <row r="15" spans="1:5" x14ac:dyDescent="0.25">
      <c r="A15" t="s">
        <v>20</v>
      </c>
      <c r="B15">
        <v>70</v>
      </c>
      <c r="C15">
        <v>876.03</v>
      </c>
      <c r="D15">
        <v>812</v>
      </c>
      <c r="E15">
        <v>61321.95</v>
      </c>
    </row>
    <row r="16" spans="1:5" x14ac:dyDescent="0.25">
      <c r="A16" t="s">
        <v>10</v>
      </c>
      <c r="B16">
        <v>90</v>
      </c>
      <c r="C16">
        <v>2446.4699999999998</v>
      </c>
      <c r="D16">
        <v>2406</v>
      </c>
      <c r="E16">
        <v>220182.45</v>
      </c>
    </row>
    <row r="17" spans="1:5" x14ac:dyDescent="0.25">
      <c r="A17" t="s">
        <v>6</v>
      </c>
      <c r="B17">
        <v>4</v>
      </c>
      <c r="C17">
        <v>2339.96</v>
      </c>
      <c r="D17">
        <v>1688</v>
      </c>
      <c r="E17">
        <v>9359.85</v>
      </c>
    </row>
    <row r="18" spans="1:5" x14ac:dyDescent="0.25">
      <c r="A18" t="s">
        <v>119</v>
      </c>
      <c r="B18">
        <v>200</v>
      </c>
      <c r="C18">
        <v>105.54</v>
      </c>
      <c r="D18">
        <v>95.15</v>
      </c>
      <c r="E18">
        <v>21108</v>
      </c>
    </row>
    <row r="19" spans="1:5" x14ac:dyDescent="0.25">
      <c r="A19" t="s">
        <v>46</v>
      </c>
      <c r="B19">
        <v>200</v>
      </c>
      <c r="C19">
        <v>138.77000000000001</v>
      </c>
      <c r="D19">
        <v>128.43</v>
      </c>
      <c r="E19">
        <v>27753.41</v>
      </c>
    </row>
    <row r="20" spans="1:5" x14ac:dyDescent="0.25">
      <c r="A20" t="s">
        <v>30</v>
      </c>
      <c r="B20">
        <v>125</v>
      </c>
      <c r="C20">
        <v>359.4</v>
      </c>
      <c r="D20">
        <v>345.7</v>
      </c>
      <c r="E20">
        <v>44925.5</v>
      </c>
    </row>
    <row r="21" spans="1:5" x14ac:dyDescent="0.25">
      <c r="A21" t="s">
        <v>4</v>
      </c>
      <c r="B21">
        <v>150</v>
      </c>
      <c r="C21">
        <v>81.27</v>
      </c>
      <c r="D21">
        <v>71.010000000000005</v>
      </c>
      <c r="E21">
        <v>12190.5</v>
      </c>
    </row>
    <row r="22" spans="1:5" x14ac:dyDescent="0.25">
      <c r="A22" t="s">
        <v>125</v>
      </c>
      <c r="B22">
        <v>35</v>
      </c>
      <c r="C22">
        <v>1037.8</v>
      </c>
      <c r="D22">
        <v>994.15</v>
      </c>
      <c r="E22">
        <v>36323</v>
      </c>
    </row>
    <row r="23" spans="1:5" x14ac:dyDescent="0.25">
      <c r="A23" t="s">
        <v>124</v>
      </c>
      <c r="B23">
        <v>15</v>
      </c>
      <c r="C23">
        <v>2326.6999999999998</v>
      </c>
      <c r="D23">
        <v>2264.1</v>
      </c>
      <c r="E23">
        <v>34900.5</v>
      </c>
    </row>
    <row r="24" spans="1:5" x14ac:dyDescent="0.25">
      <c r="A24" t="s">
        <v>3</v>
      </c>
      <c r="B24">
        <v>30</v>
      </c>
      <c r="C24">
        <v>1357.2</v>
      </c>
      <c r="D24">
        <v>1326.6</v>
      </c>
      <c r="E24">
        <v>40716</v>
      </c>
    </row>
    <row r="25" spans="1:5" x14ac:dyDescent="0.25">
      <c r="A25" t="s">
        <v>0</v>
      </c>
      <c r="B25">
        <v>20</v>
      </c>
      <c r="C25">
        <v>2727.3</v>
      </c>
      <c r="D25">
        <v>2704.4</v>
      </c>
      <c r="E25">
        <v>54546</v>
      </c>
    </row>
    <row r="26" spans="1:5" x14ac:dyDescent="0.25">
      <c r="A26" t="s">
        <v>34</v>
      </c>
      <c r="B26">
        <v>100</v>
      </c>
      <c r="C26">
        <v>477.06</v>
      </c>
      <c r="D26">
        <v>473.7</v>
      </c>
      <c r="E26">
        <v>47706.2</v>
      </c>
    </row>
    <row r="27" spans="1:5" x14ac:dyDescent="0.25">
      <c r="A27" t="s">
        <v>115</v>
      </c>
      <c r="B27">
        <v>5</v>
      </c>
      <c r="C27">
        <v>1792.73</v>
      </c>
      <c r="D27">
        <v>1796</v>
      </c>
      <c r="E27">
        <v>8963.65</v>
      </c>
    </row>
    <row r="28" spans="1:5" x14ac:dyDescent="0.25">
      <c r="A28" t="s">
        <v>41</v>
      </c>
      <c r="B28">
        <v>40</v>
      </c>
      <c r="C28">
        <v>1332.4</v>
      </c>
      <c r="D28">
        <v>1337.1</v>
      </c>
      <c r="E28">
        <v>53296</v>
      </c>
    </row>
    <row r="29" spans="1:5" x14ac:dyDescent="0.25">
      <c r="A29" t="s">
        <v>17</v>
      </c>
      <c r="B29">
        <v>400</v>
      </c>
      <c r="C29">
        <v>75.599999999999994</v>
      </c>
      <c r="D29">
        <v>76.400000000000006</v>
      </c>
      <c r="E29">
        <v>30240</v>
      </c>
    </row>
    <row r="30" spans="1:5" x14ac:dyDescent="0.25">
      <c r="A30" t="s">
        <v>11</v>
      </c>
      <c r="B30">
        <v>200</v>
      </c>
      <c r="C30">
        <v>76.900000000000006</v>
      </c>
      <c r="D30">
        <v>82.83</v>
      </c>
      <c r="E30">
        <v>15379.32</v>
      </c>
    </row>
    <row r="31" spans="1:5" x14ac:dyDescent="0.25">
      <c r="A31" t="s">
        <v>12</v>
      </c>
      <c r="B31">
        <v>18</v>
      </c>
      <c r="C31">
        <v>1585.4</v>
      </c>
      <c r="D31">
        <v>1672</v>
      </c>
      <c r="E31">
        <v>28537.200000000001</v>
      </c>
    </row>
    <row r="32" spans="1:5" x14ac:dyDescent="0.25">
      <c r="A32" t="s">
        <v>48</v>
      </c>
      <c r="B32">
        <v>20</v>
      </c>
      <c r="C32">
        <v>31.57</v>
      </c>
      <c r="D32">
        <v>151.4</v>
      </c>
      <c r="E32">
        <v>631.35</v>
      </c>
    </row>
    <row r="33" spans="1:5" x14ac:dyDescent="0.25">
      <c r="A33" t="s">
        <v>35</v>
      </c>
      <c r="B33">
        <v>50</v>
      </c>
      <c r="C33">
        <v>1265.25</v>
      </c>
      <c r="D33">
        <v>1315.4</v>
      </c>
      <c r="E33">
        <v>63262.7</v>
      </c>
    </row>
    <row r="34" spans="1:5" x14ac:dyDescent="0.25">
      <c r="A34" t="s">
        <v>16</v>
      </c>
      <c r="B34">
        <v>300</v>
      </c>
      <c r="C34">
        <v>98.64</v>
      </c>
      <c r="D34">
        <v>108.4</v>
      </c>
      <c r="E34">
        <v>29592</v>
      </c>
    </row>
    <row r="35" spans="1:5" x14ac:dyDescent="0.25">
      <c r="A35" t="s">
        <v>27</v>
      </c>
      <c r="B35">
        <v>100</v>
      </c>
      <c r="C35">
        <v>677.92</v>
      </c>
      <c r="D35">
        <v>717</v>
      </c>
      <c r="E35">
        <v>67792.36</v>
      </c>
    </row>
    <row r="36" spans="1:5" x14ac:dyDescent="0.25">
      <c r="A36" t="s">
        <v>23</v>
      </c>
      <c r="B36">
        <v>200</v>
      </c>
      <c r="C36">
        <v>401.05</v>
      </c>
      <c r="D36">
        <v>422.11</v>
      </c>
      <c r="E36">
        <v>80210.5</v>
      </c>
    </row>
    <row r="37" spans="1:5" x14ac:dyDescent="0.25">
      <c r="A37" t="s">
        <v>8</v>
      </c>
      <c r="B37">
        <v>100</v>
      </c>
      <c r="C37">
        <v>665.47</v>
      </c>
      <c r="D37">
        <v>711.8</v>
      </c>
      <c r="E37">
        <v>66547.399999999994</v>
      </c>
    </row>
    <row r="38" spans="1:5" x14ac:dyDescent="0.25">
      <c r="A38" t="s">
        <v>2</v>
      </c>
      <c r="B38">
        <v>200</v>
      </c>
      <c r="C38">
        <v>339.58</v>
      </c>
      <c r="D38">
        <v>367.25</v>
      </c>
      <c r="E38">
        <v>67916.800000000003</v>
      </c>
    </row>
    <row r="39" spans="1:5" x14ac:dyDescent="0.25">
      <c r="A39" t="s">
        <v>26</v>
      </c>
      <c r="B39">
        <v>300</v>
      </c>
      <c r="C39">
        <v>246.14</v>
      </c>
      <c r="D39">
        <v>269.3</v>
      </c>
      <c r="E39">
        <v>73841.78</v>
      </c>
    </row>
    <row r="40" spans="1:5" x14ac:dyDescent="0.25">
      <c r="A40" t="s">
        <v>19</v>
      </c>
      <c r="B40">
        <v>500</v>
      </c>
      <c r="C40">
        <v>99.56</v>
      </c>
      <c r="D40">
        <v>120.14</v>
      </c>
      <c r="E40">
        <v>49782.1</v>
      </c>
    </row>
    <row r="41" spans="1:5" x14ac:dyDescent="0.25">
      <c r="A41" t="s">
        <v>15</v>
      </c>
      <c r="B41">
        <v>150</v>
      </c>
      <c r="C41">
        <v>352.72</v>
      </c>
      <c r="D41">
        <v>424.2</v>
      </c>
      <c r="E41">
        <v>52908.65</v>
      </c>
    </row>
    <row r="42" spans="1:5" x14ac:dyDescent="0.25">
      <c r="A42" t="s">
        <v>33</v>
      </c>
      <c r="B42">
        <v>800</v>
      </c>
      <c r="C42">
        <v>43.15</v>
      </c>
      <c r="D42">
        <v>63.08</v>
      </c>
      <c r="E42">
        <v>34523.1</v>
      </c>
    </row>
    <row r="43" spans="1:5" x14ac:dyDescent="0.25">
      <c r="A43" t="s">
        <v>24</v>
      </c>
      <c r="B43">
        <v>100</v>
      </c>
      <c r="C43">
        <v>799.61</v>
      </c>
      <c r="D43">
        <v>1028.4000000000001</v>
      </c>
      <c r="E43">
        <v>79961.25</v>
      </c>
    </row>
    <row r="44" spans="1:5" x14ac:dyDescent="0.25">
      <c r="A44" t="s">
        <v>44</v>
      </c>
      <c r="B44">
        <v>1000</v>
      </c>
      <c r="C44">
        <v>108.97</v>
      </c>
      <c r="D44">
        <v>132.54</v>
      </c>
      <c r="E44">
        <v>108970</v>
      </c>
    </row>
    <row r="45" spans="1:5" x14ac:dyDescent="0.25">
      <c r="A45" t="s">
        <v>43</v>
      </c>
      <c r="B45">
        <v>530</v>
      </c>
      <c r="C45">
        <v>177.31</v>
      </c>
      <c r="D45">
        <v>302.5</v>
      </c>
      <c r="E45">
        <v>93972.18</v>
      </c>
    </row>
    <row r="46" spans="1:5" x14ac:dyDescent="0.25">
      <c r="A46" t="s">
        <v>9</v>
      </c>
      <c r="B46">
        <v>500</v>
      </c>
      <c r="C46">
        <v>142.68</v>
      </c>
      <c r="D46">
        <v>295.3</v>
      </c>
      <c r="E46">
        <v>71338.759999999995</v>
      </c>
    </row>
    <row r="47" spans="1:5" x14ac:dyDescent="0.25">
      <c r="A47" t="s">
        <v>107</v>
      </c>
      <c r="B47">
        <v>16</v>
      </c>
      <c r="C47">
        <v>6213</v>
      </c>
      <c r="D47">
        <v>19589</v>
      </c>
      <c r="E47">
        <v>99408</v>
      </c>
    </row>
    <row r="48" spans="1:5" x14ac:dyDescent="0.25">
      <c r="A48" t="s">
        <v>25</v>
      </c>
      <c r="B48">
        <v>7500</v>
      </c>
      <c r="C48">
        <v>75.2</v>
      </c>
      <c r="D48">
        <v>131.74</v>
      </c>
      <c r="E48">
        <v>564019.43999999994</v>
      </c>
    </row>
    <row r="49" spans="1:5" x14ac:dyDescent="0.25">
      <c r="A49" t="s">
        <v>45</v>
      </c>
      <c r="B49">
        <v>500</v>
      </c>
      <c r="C49">
        <v>99.79</v>
      </c>
      <c r="D49">
        <v>127.49</v>
      </c>
      <c r="E49">
        <v>49893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BAA7-6A46-4F5E-969A-545287665DA9}">
  <dimension ref="A1:F7"/>
  <sheetViews>
    <sheetView workbookViewId="0">
      <selection activeCell="A3" sqref="A3"/>
    </sheetView>
  </sheetViews>
  <sheetFormatPr defaultRowHeight="15" x14ac:dyDescent="0.25"/>
  <cols>
    <col min="1" max="1" width="14.28515625" bestFit="1" customWidth="1"/>
    <col min="2" max="2" width="10.28515625" bestFit="1" customWidth="1"/>
    <col min="3" max="3" width="15.7109375" bestFit="1" customWidth="1"/>
    <col min="4" max="4" width="18.42578125" bestFit="1" customWidth="1"/>
    <col min="5" max="5" width="14.7109375" bestFit="1" customWidth="1"/>
  </cols>
  <sheetData>
    <row r="1" spans="1:6" x14ac:dyDescent="0.25">
      <c r="A1" t="s">
        <v>110</v>
      </c>
      <c r="B1" t="s">
        <v>111</v>
      </c>
      <c r="C1" t="s">
        <v>112</v>
      </c>
      <c r="D1" t="s">
        <v>122</v>
      </c>
      <c r="E1" t="s">
        <v>113</v>
      </c>
      <c r="F1" t="s">
        <v>123</v>
      </c>
    </row>
    <row r="2" spans="1:6" x14ac:dyDescent="0.25">
      <c r="A2" t="s">
        <v>25</v>
      </c>
      <c r="B2">
        <v>7500</v>
      </c>
      <c r="C2">
        <v>75.2</v>
      </c>
      <c r="D2">
        <v>132.71</v>
      </c>
      <c r="E2">
        <v>564019.43999999994</v>
      </c>
      <c r="F2">
        <v>995325</v>
      </c>
    </row>
    <row r="3" spans="1:6" x14ac:dyDescent="0.25">
      <c r="A3" t="s">
        <v>28</v>
      </c>
      <c r="B3">
        <v>16</v>
      </c>
      <c r="C3">
        <v>6213</v>
      </c>
      <c r="D3">
        <v>17954.169999999998</v>
      </c>
      <c r="E3">
        <v>99408</v>
      </c>
      <c r="F3">
        <v>287266.71999999997</v>
      </c>
    </row>
    <row r="4" spans="1:6" x14ac:dyDescent="0.25">
      <c r="A4" t="s">
        <v>44</v>
      </c>
      <c r="B4">
        <v>1000</v>
      </c>
      <c r="C4">
        <v>108.97</v>
      </c>
      <c r="D4">
        <v>133.52000000000001</v>
      </c>
      <c r="E4">
        <v>108970</v>
      </c>
      <c r="F4">
        <v>133520</v>
      </c>
    </row>
    <row r="5" spans="1:6" x14ac:dyDescent="0.25">
      <c r="A5" t="s">
        <v>45</v>
      </c>
      <c r="B5">
        <v>700</v>
      </c>
      <c r="C5">
        <v>105.7</v>
      </c>
      <c r="D5">
        <v>128.69999999999999</v>
      </c>
      <c r="E5">
        <v>73993</v>
      </c>
      <c r="F5">
        <v>90090</v>
      </c>
    </row>
    <row r="6" spans="1:6" x14ac:dyDescent="0.25">
      <c r="A6" t="s">
        <v>9</v>
      </c>
      <c r="B6">
        <v>1100</v>
      </c>
      <c r="C6">
        <v>236.44</v>
      </c>
      <c r="D6">
        <v>247</v>
      </c>
      <c r="E6">
        <v>260082.56</v>
      </c>
      <c r="F6">
        <v>271700</v>
      </c>
    </row>
    <row r="7" spans="1:6" x14ac:dyDescent="0.25">
      <c r="A7" t="s">
        <v>126</v>
      </c>
      <c r="B7">
        <v>100</v>
      </c>
      <c r="C7">
        <v>23.48</v>
      </c>
      <c r="D7">
        <v>25</v>
      </c>
      <c r="E7">
        <v>2348</v>
      </c>
      <c r="F7">
        <v>2500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0E13-5D19-484C-8122-D5DFA7299F88}">
  <dimension ref="A1:H29"/>
  <sheetViews>
    <sheetView topLeftCell="A22" workbookViewId="0">
      <selection activeCell="C28" sqref="C28"/>
    </sheetView>
  </sheetViews>
  <sheetFormatPr defaultRowHeight="15.75" x14ac:dyDescent="0.25"/>
  <cols>
    <col min="1" max="1" width="11" style="2" bestFit="1" customWidth="1"/>
    <col min="2" max="2" width="23.7109375" style="2" bestFit="1" customWidth="1"/>
    <col min="3" max="3" width="13.42578125" style="2" bestFit="1" customWidth="1"/>
    <col min="6" max="6" width="3.85546875" bestFit="1" customWidth="1"/>
    <col min="7" max="7" width="9.7109375" bestFit="1" customWidth="1"/>
    <col min="8" max="8" width="11" bestFit="1" customWidth="1"/>
  </cols>
  <sheetData>
    <row r="1" spans="1:3" x14ac:dyDescent="0.25">
      <c r="A1" s="14" t="s">
        <v>49</v>
      </c>
      <c r="B1" s="14" t="s">
        <v>50</v>
      </c>
      <c r="C1" s="14" t="s">
        <v>51</v>
      </c>
    </row>
    <row r="2" spans="1:3" ht="47.25" x14ac:dyDescent="0.25">
      <c r="A2" s="2" t="s">
        <v>52</v>
      </c>
      <c r="B2" s="17" t="s">
        <v>53</v>
      </c>
      <c r="C2" s="2">
        <v>18952</v>
      </c>
    </row>
    <row r="3" spans="1:3" x14ac:dyDescent="0.25">
      <c r="A3" s="2" t="s">
        <v>54</v>
      </c>
      <c r="B3" s="2" t="s">
        <v>10</v>
      </c>
      <c r="C3" s="2">
        <v>24929.5</v>
      </c>
    </row>
    <row r="4" spans="1:3" ht="47.25" x14ac:dyDescent="0.25">
      <c r="A4" s="2" t="s">
        <v>55</v>
      </c>
      <c r="B4" s="17" t="s">
        <v>56</v>
      </c>
      <c r="C4" s="2">
        <v>20734.099999999999</v>
      </c>
    </row>
    <row r="5" spans="1:3" ht="47.25" x14ac:dyDescent="0.25">
      <c r="A5" s="2" t="s">
        <v>57</v>
      </c>
      <c r="B5" s="17" t="s">
        <v>58</v>
      </c>
      <c r="C5" s="2">
        <v>39459.31</v>
      </c>
    </row>
    <row r="6" spans="1:3" ht="31.5" x14ac:dyDescent="0.25">
      <c r="A6" s="2" t="s">
        <v>59</v>
      </c>
      <c r="B6" s="17" t="s">
        <v>60</v>
      </c>
      <c r="C6" s="2">
        <v>41072.22</v>
      </c>
    </row>
    <row r="7" spans="1:3" ht="47.25" x14ac:dyDescent="0.25">
      <c r="A7" s="2" t="s">
        <v>61</v>
      </c>
      <c r="B7" s="17" t="s">
        <v>62</v>
      </c>
      <c r="C7" s="2">
        <v>111854.62</v>
      </c>
    </row>
    <row r="8" spans="1:3" ht="63" x14ac:dyDescent="0.25">
      <c r="A8" s="2" t="s">
        <v>63</v>
      </c>
      <c r="B8" s="17" t="s">
        <v>64</v>
      </c>
      <c r="C8" s="2">
        <v>87828.459999999992</v>
      </c>
    </row>
    <row r="9" spans="1:3" x14ac:dyDescent="0.25">
      <c r="A9" s="2" t="s">
        <v>65</v>
      </c>
      <c r="B9" s="2" t="s">
        <v>15</v>
      </c>
      <c r="C9" s="2">
        <v>21196.5</v>
      </c>
    </row>
    <row r="10" spans="1:3" ht="47.25" x14ac:dyDescent="0.25">
      <c r="A10" s="2" t="s">
        <v>66</v>
      </c>
      <c r="B10" s="17" t="s">
        <v>67</v>
      </c>
      <c r="C10" s="2">
        <v>87519.77</v>
      </c>
    </row>
    <row r="11" spans="1:3" ht="78.75" x14ac:dyDescent="0.25">
      <c r="A11" s="2" t="s">
        <v>68</v>
      </c>
      <c r="B11" s="17" t="s">
        <v>69</v>
      </c>
      <c r="C11" s="2">
        <v>118560</v>
      </c>
    </row>
    <row r="12" spans="1:3" ht="47.25" x14ac:dyDescent="0.25">
      <c r="A12" s="2" t="s">
        <v>70</v>
      </c>
      <c r="B12" s="17" t="s">
        <v>71</v>
      </c>
      <c r="C12" s="2">
        <v>155426.76999999999</v>
      </c>
    </row>
    <row r="13" spans="1:3" ht="78.75" x14ac:dyDescent="0.25">
      <c r="A13" s="2" t="s">
        <v>72</v>
      </c>
      <c r="B13" s="17" t="s">
        <v>73</v>
      </c>
      <c r="C13" s="2">
        <v>57976.32</v>
      </c>
    </row>
    <row r="14" spans="1:3" ht="78.75" x14ac:dyDescent="0.25">
      <c r="A14" s="2" t="s">
        <v>74</v>
      </c>
      <c r="B14" s="17" t="s">
        <v>75</v>
      </c>
      <c r="C14" s="2">
        <v>127761</v>
      </c>
    </row>
    <row r="15" spans="1:3" ht="31.5" x14ac:dyDescent="0.25">
      <c r="A15" s="2" t="s">
        <v>76</v>
      </c>
      <c r="B15" s="17" t="s">
        <v>77</v>
      </c>
      <c r="C15" s="2">
        <v>175257</v>
      </c>
    </row>
    <row r="16" spans="1:3" ht="31.5" x14ac:dyDescent="0.25">
      <c r="A16" s="2" t="s">
        <v>78</v>
      </c>
      <c r="B16" s="17" t="s">
        <v>79</v>
      </c>
      <c r="C16" s="2">
        <v>36017.800000000003</v>
      </c>
    </row>
    <row r="17" spans="1:8" ht="141.75" x14ac:dyDescent="0.25">
      <c r="A17" s="2" t="s">
        <v>80</v>
      </c>
      <c r="B17" s="17" t="s">
        <v>81</v>
      </c>
      <c r="C17" s="2">
        <v>167856.92</v>
      </c>
    </row>
    <row r="18" spans="1:8" ht="47.25" x14ac:dyDescent="0.25">
      <c r="A18" s="2" t="s">
        <v>82</v>
      </c>
      <c r="B18" s="17" t="s">
        <v>83</v>
      </c>
      <c r="C18" s="2">
        <v>56037.8</v>
      </c>
    </row>
    <row r="19" spans="1:8" ht="63" x14ac:dyDescent="0.25">
      <c r="A19" s="2" t="s">
        <v>84</v>
      </c>
      <c r="B19" s="17" t="s">
        <v>85</v>
      </c>
      <c r="C19" s="2">
        <v>98232.6</v>
      </c>
    </row>
    <row r="20" spans="1:8" x14ac:dyDescent="0.25">
      <c r="A20" s="2" t="s">
        <v>86</v>
      </c>
      <c r="B20" s="2" t="s">
        <v>25</v>
      </c>
      <c r="C20" s="2">
        <v>59034.33</v>
      </c>
    </row>
    <row r="21" spans="1:8" ht="31.5" x14ac:dyDescent="0.25">
      <c r="A21" s="2" t="s">
        <v>87</v>
      </c>
      <c r="B21" s="17" t="s">
        <v>88</v>
      </c>
      <c r="C21" s="2">
        <v>110342</v>
      </c>
    </row>
    <row r="22" spans="1:8" ht="110.25" x14ac:dyDescent="0.25">
      <c r="A22" s="2" t="s">
        <v>89</v>
      </c>
      <c r="B22" s="17" t="s">
        <v>90</v>
      </c>
      <c r="C22" s="2">
        <v>303581</v>
      </c>
    </row>
    <row r="23" spans="1:8" ht="47.25" x14ac:dyDescent="0.25">
      <c r="A23" s="2" t="s">
        <v>91</v>
      </c>
      <c r="B23" s="17" t="s">
        <v>92</v>
      </c>
      <c r="C23" s="2">
        <v>100934</v>
      </c>
    </row>
    <row r="24" spans="1:8" ht="63" x14ac:dyDescent="0.25">
      <c r="A24" s="2" t="s">
        <v>93</v>
      </c>
      <c r="B24" s="17" t="s">
        <v>94</v>
      </c>
      <c r="C24" s="2">
        <v>44196</v>
      </c>
    </row>
    <row r="25" spans="1:8" ht="267.75" x14ac:dyDescent="0.25">
      <c r="A25" s="2" t="s">
        <v>95</v>
      </c>
      <c r="B25" s="17" t="s">
        <v>96</v>
      </c>
      <c r="C25" s="2">
        <v>324521.95</v>
      </c>
    </row>
    <row r="26" spans="1:8" ht="157.5" x14ac:dyDescent="0.25">
      <c r="A26" s="2" t="s">
        <v>97</v>
      </c>
      <c r="B26" s="17" t="s">
        <v>98</v>
      </c>
      <c r="C26" s="2">
        <v>360648.1</v>
      </c>
    </row>
    <row r="27" spans="1:8" ht="63" x14ac:dyDescent="0.25">
      <c r="A27" s="2" t="s">
        <v>99</v>
      </c>
      <c r="B27" s="17" t="s">
        <v>103</v>
      </c>
      <c r="C27" s="2">
        <v>93133</v>
      </c>
    </row>
    <row r="28" spans="1:8" ht="63" x14ac:dyDescent="0.25">
      <c r="A28" s="19" t="s">
        <v>108</v>
      </c>
      <c r="B28" s="17" t="s">
        <v>109</v>
      </c>
      <c r="C28" s="2">
        <v>56294</v>
      </c>
    </row>
    <row r="29" spans="1:8" x14ac:dyDescent="0.25">
      <c r="A29" s="18"/>
      <c r="E29" s="2"/>
      <c r="F29" s="2"/>
      <c r="G29" s="12"/>
      <c r="H2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1BF0-43B4-4F5A-8863-9FB8145C4A50}">
  <dimension ref="A1:C5"/>
  <sheetViews>
    <sheetView topLeftCell="A4" workbookViewId="0">
      <selection activeCell="C4" sqref="C4"/>
    </sheetView>
  </sheetViews>
  <sheetFormatPr defaultRowHeight="15" x14ac:dyDescent="0.25"/>
  <cols>
    <col min="1" max="1" width="10.85546875" bestFit="1" customWidth="1"/>
    <col min="2" max="2" width="23.7109375" bestFit="1" customWidth="1"/>
    <col min="3" max="3" width="13.42578125" bestFit="1" customWidth="1"/>
  </cols>
  <sheetData>
    <row r="1" spans="1:3" ht="15.75" x14ac:dyDescent="0.25">
      <c r="A1" s="14" t="s">
        <v>100</v>
      </c>
      <c r="B1" s="14" t="s">
        <v>50</v>
      </c>
      <c r="C1" s="14" t="s">
        <v>51</v>
      </c>
    </row>
    <row r="2" spans="1:3" ht="78.75" x14ac:dyDescent="0.25">
      <c r="A2" s="2">
        <v>2022</v>
      </c>
      <c r="B2" s="17" t="s">
        <v>53</v>
      </c>
      <c r="C2" s="2">
        <v>18952</v>
      </c>
    </row>
    <row r="3" spans="1:3" ht="90" x14ac:dyDescent="0.25">
      <c r="A3" s="2">
        <v>2023</v>
      </c>
      <c r="B3" s="16" t="s">
        <v>101</v>
      </c>
      <c r="C3" s="2">
        <v>85122.91</v>
      </c>
    </row>
    <row r="4" spans="1:3" ht="330" x14ac:dyDescent="0.25">
      <c r="A4" s="2">
        <v>2024</v>
      </c>
      <c r="B4" s="15" t="s">
        <v>105</v>
      </c>
      <c r="C4">
        <v>1020471</v>
      </c>
    </row>
    <row r="5" spans="1:3" ht="409.5" x14ac:dyDescent="0.25">
      <c r="A5" s="2">
        <v>2025</v>
      </c>
      <c r="B5" s="15" t="s">
        <v>104</v>
      </c>
      <c r="C5">
        <v>1718517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F1D9-872C-4FF9-80E8-CB7048844081}">
  <dimension ref="A1:E50"/>
  <sheetViews>
    <sheetView topLeftCell="A22" workbookViewId="0">
      <selection activeCell="K47" sqref="K47"/>
    </sheetView>
  </sheetViews>
  <sheetFormatPr defaultRowHeight="15" x14ac:dyDescent="0.25"/>
  <cols>
    <col min="1" max="1" width="14" bestFit="1" customWidth="1"/>
    <col min="3" max="3" width="8.85546875" bestFit="1" customWidth="1"/>
    <col min="4" max="4" width="10" bestFit="1" customWidth="1"/>
    <col min="5" max="5" width="16.28515625" bestFit="1" customWidth="1"/>
  </cols>
  <sheetData>
    <row r="1" spans="1:5" x14ac:dyDescent="0.25">
      <c r="A1" t="s">
        <v>110</v>
      </c>
      <c r="B1" t="s">
        <v>111</v>
      </c>
      <c r="C1" t="s">
        <v>112</v>
      </c>
      <c r="D1" t="s">
        <v>113</v>
      </c>
      <c r="E1" t="s">
        <v>118</v>
      </c>
    </row>
    <row r="2" spans="1:5" x14ac:dyDescent="0.25">
      <c r="A2" t="s">
        <v>0</v>
      </c>
      <c r="B2">
        <v>20</v>
      </c>
      <c r="C2">
        <v>2727.3</v>
      </c>
      <c r="D2">
        <v>54546</v>
      </c>
    </row>
    <row r="3" spans="1:5" x14ac:dyDescent="0.25">
      <c r="A3" t="s">
        <v>8</v>
      </c>
      <c r="B3">
        <v>100</v>
      </c>
      <c r="C3">
        <v>665.47</v>
      </c>
      <c r="D3">
        <v>66547.399999999994</v>
      </c>
    </row>
    <row r="4" spans="1:5" x14ac:dyDescent="0.25">
      <c r="A4" t="s">
        <v>12</v>
      </c>
      <c r="B4">
        <v>18</v>
      </c>
      <c r="C4">
        <v>1585.4</v>
      </c>
      <c r="D4">
        <v>28537.200000000001</v>
      </c>
    </row>
    <row r="5" spans="1:5" x14ac:dyDescent="0.25">
      <c r="A5" t="s">
        <v>10</v>
      </c>
      <c r="B5">
        <v>90</v>
      </c>
      <c r="C5">
        <v>2446.4699999999998</v>
      </c>
      <c r="D5">
        <v>220182.45</v>
      </c>
    </row>
    <row r="6" spans="1:5" x14ac:dyDescent="0.25">
      <c r="A6" t="s">
        <v>31</v>
      </c>
      <c r="B6">
        <v>200</v>
      </c>
      <c r="C6">
        <v>143.37</v>
      </c>
      <c r="D6">
        <v>28674</v>
      </c>
    </row>
    <row r="7" spans="1:5" x14ac:dyDescent="0.25">
      <c r="A7" t="s">
        <v>24</v>
      </c>
      <c r="B7">
        <v>100</v>
      </c>
      <c r="C7">
        <v>799.61</v>
      </c>
      <c r="D7">
        <v>79961.25</v>
      </c>
    </row>
    <row r="8" spans="1:5" x14ac:dyDescent="0.25">
      <c r="A8" t="s">
        <v>13</v>
      </c>
      <c r="B8">
        <v>300</v>
      </c>
      <c r="C8">
        <v>392.57</v>
      </c>
      <c r="D8">
        <v>117769.7</v>
      </c>
    </row>
    <row r="9" spans="1:5" x14ac:dyDescent="0.25">
      <c r="A9" t="s">
        <v>15</v>
      </c>
      <c r="B9">
        <v>30</v>
      </c>
      <c r="C9">
        <v>1763.62</v>
      </c>
      <c r="D9">
        <v>52908.65</v>
      </c>
    </row>
    <row r="10" spans="1:5" x14ac:dyDescent="0.25">
      <c r="A10" t="s">
        <v>32</v>
      </c>
      <c r="B10">
        <v>20</v>
      </c>
      <c r="C10">
        <v>3452.85</v>
      </c>
      <c r="D10">
        <v>69057</v>
      </c>
      <c r="E10">
        <f>SUM(D2:D10)</f>
        <v>718183.65</v>
      </c>
    </row>
    <row r="12" spans="1:5" x14ac:dyDescent="0.25">
      <c r="A12" t="s">
        <v>30</v>
      </c>
      <c r="B12">
        <v>100</v>
      </c>
      <c r="C12">
        <v>357.2</v>
      </c>
      <c r="D12">
        <v>35720</v>
      </c>
    </row>
    <row r="13" spans="1:5" x14ac:dyDescent="0.25">
      <c r="A13" t="s">
        <v>19</v>
      </c>
      <c r="B13">
        <v>500</v>
      </c>
      <c r="C13">
        <v>99.56</v>
      </c>
      <c r="D13">
        <v>49782.1</v>
      </c>
    </row>
    <row r="14" spans="1:5" x14ac:dyDescent="0.25">
      <c r="A14" t="s">
        <v>16</v>
      </c>
      <c r="B14">
        <v>300</v>
      </c>
      <c r="C14">
        <v>98.64</v>
      </c>
      <c r="D14">
        <v>29592</v>
      </c>
    </row>
    <row r="15" spans="1:5" x14ac:dyDescent="0.25">
      <c r="A15" t="s">
        <v>7</v>
      </c>
      <c r="B15">
        <v>20</v>
      </c>
      <c r="C15">
        <v>1543.3</v>
      </c>
      <c r="D15">
        <v>30866</v>
      </c>
    </row>
    <row r="16" spans="1:5" x14ac:dyDescent="0.25">
      <c r="A16" t="s">
        <v>41</v>
      </c>
      <c r="B16">
        <v>25</v>
      </c>
      <c r="C16">
        <v>1327.3</v>
      </c>
      <c r="D16">
        <v>33182.5</v>
      </c>
    </row>
    <row r="17" spans="1:5" x14ac:dyDescent="0.25">
      <c r="A17" t="s">
        <v>34</v>
      </c>
      <c r="B17">
        <v>100</v>
      </c>
      <c r="C17">
        <v>477.06</v>
      </c>
      <c r="D17">
        <v>47706.2</v>
      </c>
    </row>
    <row r="18" spans="1:5" x14ac:dyDescent="0.25">
      <c r="A18" t="s">
        <v>117</v>
      </c>
      <c r="B18">
        <v>50</v>
      </c>
      <c r="C18">
        <v>665.5</v>
      </c>
      <c r="D18">
        <v>33275</v>
      </c>
      <c r="E18">
        <f>SUM(D12:D18)</f>
        <v>260123.8</v>
      </c>
    </row>
    <row r="20" spans="1:5" x14ac:dyDescent="0.25">
      <c r="A20" t="s">
        <v>17</v>
      </c>
      <c r="B20">
        <v>400</v>
      </c>
      <c r="C20">
        <v>75.599999999999994</v>
      </c>
      <c r="D20">
        <v>30240</v>
      </c>
    </row>
    <row r="21" spans="1:5" x14ac:dyDescent="0.25">
      <c r="A21" t="s">
        <v>114</v>
      </c>
      <c r="B21">
        <v>500</v>
      </c>
      <c r="C21">
        <v>45.11</v>
      </c>
      <c r="D21">
        <v>22552.78</v>
      </c>
    </row>
    <row r="22" spans="1:5" x14ac:dyDescent="0.25">
      <c r="A22" t="s">
        <v>115</v>
      </c>
      <c r="B22">
        <v>5</v>
      </c>
      <c r="C22">
        <v>1792.73</v>
      </c>
      <c r="D22">
        <v>8963.65</v>
      </c>
    </row>
    <row r="23" spans="1:5" x14ac:dyDescent="0.25">
      <c r="A23" t="s">
        <v>116</v>
      </c>
      <c r="B23">
        <v>100</v>
      </c>
      <c r="C23">
        <v>583.25</v>
      </c>
      <c r="D23">
        <v>58325</v>
      </c>
    </row>
    <row r="24" spans="1:5" x14ac:dyDescent="0.25">
      <c r="A24" t="s">
        <v>20</v>
      </c>
      <c r="B24">
        <v>70</v>
      </c>
      <c r="C24">
        <v>876.03</v>
      </c>
      <c r="D24">
        <v>61321.95</v>
      </c>
    </row>
    <row r="25" spans="1:5" x14ac:dyDescent="0.25">
      <c r="A25" t="s">
        <v>1</v>
      </c>
      <c r="B25">
        <v>100</v>
      </c>
      <c r="C25">
        <v>205.3</v>
      </c>
      <c r="D25">
        <v>20530.3</v>
      </c>
    </row>
    <row r="26" spans="1:5" x14ac:dyDescent="0.25">
      <c r="A26" t="s">
        <v>48</v>
      </c>
      <c r="B26">
        <v>20</v>
      </c>
      <c r="C26">
        <v>31.57</v>
      </c>
      <c r="D26">
        <v>631.35</v>
      </c>
    </row>
    <row r="27" spans="1:5" x14ac:dyDescent="0.25">
      <c r="A27" t="s">
        <v>22</v>
      </c>
      <c r="B27">
        <v>120</v>
      </c>
      <c r="C27">
        <v>829.13</v>
      </c>
      <c r="D27">
        <v>99495.1</v>
      </c>
    </row>
    <row r="28" spans="1:5" x14ac:dyDescent="0.25">
      <c r="A28" t="s">
        <v>14</v>
      </c>
      <c r="B28">
        <v>20</v>
      </c>
      <c r="C28">
        <v>593.72</v>
      </c>
      <c r="D28">
        <v>11874.35</v>
      </c>
    </row>
    <row r="29" spans="1:5" x14ac:dyDescent="0.25">
      <c r="A29" t="s">
        <v>42</v>
      </c>
      <c r="B29">
        <v>35</v>
      </c>
      <c r="C29">
        <v>861.34</v>
      </c>
      <c r="D29">
        <v>30146.75</v>
      </c>
    </row>
    <row r="30" spans="1:5" x14ac:dyDescent="0.25">
      <c r="A30" t="s">
        <v>21</v>
      </c>
      <c r="B30">
        <v>10</v>
      </c>
      <c r="C30">
        <v>1396.05</v>
      </c>
      <c r="D30">
        <v>13960.5</v>
      </c>
    </row>
    <row r="31" spans="1:5" x14ac:dyDescent="0.25">
      <c r="A31" t="s">
        <v>2</v>
      </c>
      <c r="B31">
        <v>200</v>
      </c>
      <c r="C31">
        <v>339.58</v>
      </c>
      <c r="D31">
        <v>67916.800000000003</v>
      </c>
    </row>
    <row r="32" spans="1:5" x14ac:dyDescent="0.25">
      <c r="A32" t="s">
        <v>4</v>
      </c>
      <c r="B32">
        <v>150</v>
      </c>
      <c r="C32">
        <v>81.27</v>
      </c>
      <c r="D32">
        <v>12190.5</v>
      </c>
    </row>
    <row r="33" spans="1:5" x14ac:dyDescent="0.25">
      <c r="A33" t="s">
        <v>33</v>
      </c>
      <c r="B33">
        <v>800</v>
      </c>
      <c r="C33">
        <v>43.15</v>
      </c>
      <c r="D33">
        <v>34523.1</v>
      </c>
    </row>
    <row r="34" spans="1:5" x14ac:dyDescent="0.25">
      <c r="A34" t="s">
        <v>11</v>
      </c>
      <c r="B34">
        <v>200</v>
      </c>
      <c r="C34">
        <v>76.900000000000006</v>
      </c>
      <c r="D34">
        <v>15379.32</v>
      </c>
    </row>
    <row r="35" spans="1:5" x14ac:dyDescent="0.25">
      <c r="A35" t="s">
        <v>3</v>
      </c>
      <c r="B35">
        <v>30</v>
      </c>
      <c r="C35">
        <v>1357.2</v>
      </c>
      <c r="D35">
        <v>40716</v>
      </c>
    </row>
    <row r="36" spans="1:5" x14ac:dyDescent="0.25">
      <c r="A36" t="s">
        <v>6</v>
      </c>
      <c r="B36">
        <v>4</v>
      </c>
      <c r="C36">
        <v>2339.96</v>
      </c>
      <c r="D36">
        <v>9359.85</v>
      </c>
    </row>
    <row r="37" spans="1:5" x14ac:dyDescent="0.25">
      <c r="A37" t="s">
        <v>35</v>
      </c>
      <c r="B37">
        <v>50</v>
      </c>
      <c r="C37">
        <v>1265.25</v>
      </c>
      <c r="D37">
        <v>63262.7</v>
      </c>
      <c r="E37">
        <f>SUM(D20:D37)</f>
        <v>601389.99999999988</v>
      </c>
    </row>
    <row r="39" spans="1:5" x14ac:dyDescent="0.25">
      <c r="A39" t="s">
        <v>26</v>
      </c>
      <c r="B39">
        <v>400</v>
      </c>
      <c r="C39">
        <v>247.35</v>
      </c>
      <c r="D39">
        <v>98940.78</v>
      </c>
    </row>
    <row r="40" spans="1:5" x14ac:dyDescent="0.25">
      <c r="A40" t="s">
        <v>27</v>
      </c>
      <c r="B40">
        <v>100</v>
      </c>
      <c r="C40">
        <v>677.92</v>
      </c>
      <c r="D40">
        <v>67792.36</v>
      </c>
    </row>
    <row r="41" spans="1:5" x14ac:dyDescent="0.25">
      <c r="A41" t="s">
        <v>46</v>
      </c>
      <c r="B41">
        <v>200</v>
      </c>
      <c r="C41">
        <v>138.77000000000001</v>
      </c>
      <c r="D41">
        <v>27753.41</v>
      </c>
    </row>
    <row r="42" spans="1:5" x14ac:dyDescent="0.25">
      <c r="A42" t="s">
        <v>5</v>
      </c>
      <c r="B42">
        <v>1500</v>
      </c>
      <c r="C42">
        <v>59.59</v>
      </c>
      <c r="D42">
        <v>89391.3</v>
      </c>
    </row>
    <row r="43" spans="1:5" x14ac:dyDescent="0.25">
      <c r="A43" t="s">
        <v>23</v>
      </c>
      <c r="B43">
        <v>200</v>
      </c>
      <c r="C43">
        <v>401.05</v>
      </c>
      <c r="D43">
        <v>80210.5</v>
      </c>
      <c r="E43">
        <f>SUM(D39:D43)</f>
        <v>364088.35000000003</v>
      </c>
    </row>
    <row r="45" spans="1:5" x14ac:dyDescent="0.25">
      <c r="A45" t="s">
        <v>107</v>
      </c>
      <c r="B45">
        <v>16</v>
      </c>
      <c r="C45">
        <v>6213</v>
      </c>
      <c r="D45">
        <v>99408</v>
      </c>
    </row>
    <row r="46" spans="1:5" x14ac:dyDescent="0.25">
      <c r="A46" t="s">
        <v>45</v>
      </c>
      <c r="B46">
        <v>500</v>
      </c>
      <c r="C46">
        <v>99.79</v>
      </c>
      <c r="D46">
        <v>49893</v>
      </c>
    </row>
    <row r="47" spans="1:5" x14ac:dyDescent="0.25">
      <c r="A47" t="s">
        <v>25</v>
      </c>
      <c r="B47">
        <v>6800</v>
      </c>
      <c r="C47">
        <v>69.64</v>
      </c>
      <c r="D47">
        <v>473537.43</v>
      </c>
    </row>
    <row r="48" spans="1:5" x14ac:dyDescent="0.25">
      <c r="A48" t="s">
        <v>43</v>
      </c>
      <c r="B48">
        <v>500</v>
      </c>
      <c r="C48">
        <v>170.25</v>
      </c>
      <c r="D48">
        <v>85127.28</v>
      </c>
    </row>
    <row r="49" spans="1:5" x14ac:dyDescent="0.25">
      <c r="A49" t="s">
        <v>44</v>
      </c>
      <c r="B49">
        <v>1000</v>
      </c>
      <c r="C49">
        <v>108.97</v>
      </c>
      <c r="D49">
        <v>108970</v>
      </c>
    </row>
    <row r="50" spans="1:5" x14ac:dyDescent="0.25">
      <c r="A50" t="s">
        <v>9</v>
      </c>
      <c r="B50">
        <v>700</v>
      </c>
      <c r="C50">
        <v>134.12</v>
      </c>
      <c r="D50">
        <v>93882.76</v>
      </c>
      <c r="E50">
        <f>SUM(D45:D50)</f>
        <v>910818.47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Purchase Date Wise</vt:lpstr>
      <vt:lpstr>Company Wise Aggregated Data</vt:lpstr>
      <vt:lpstr>GOLD&amp;SILVER</vt:lpstr>
      <vt:lpstr>MMYY</vt:lpstr>
      <vt:lpstr>YYYY</vt:lpstr>
      <vt:lpstr>Large-Small-ETF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mohapatro</dc:creator>
  <cp:lastModifiedBy>Mohapatro, Sudhir</cp:lastModifiedBy>
  <cp:lastPrinted>2025-11-15T14:06:14Z</cp:lastPrinted>
  <dcterms:created xsi:type="dcterms:W3CDTF">2025-09-18T13:18:56Z</dcterms:created>
  <dcterms:modified xsi:type="dcterms:W3CDTF">2026-02-15T08:14:35Z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2026-02-14T09:40:03Z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1bb29b07-babc-4d5f-876e-aa36237a367e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