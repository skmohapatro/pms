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ment\pms\"/>
    </mc:Choice>
  </mc:AlternateContent>
  <xr:revisionPtr revIDLastSave="0" documentId="8_{583F853A-419B-47FC-B4D4-322021FA93D3}" xr6:coauthVersionLast="47" xr6:coauthVersionMax="47" xr10:uidLastSave="{00000000-0000-0000-0000-000000000000}"/>
  <bookViews>
    <workbookView xWindow="-120" yWindow="-120" windowWidth="29040" windowHeight="15720" xr2:uid="{3B8BA8B6-8F51-4910-8BD4-527F6C54BB46}"/>
  </bookViews>
  <sheets>
    <sheet name="holdings (28)" sheetId="1" r:id="rId1"/>
  </sheets>
  <calcPr calcId="0"/>
</workbook>
</file>

<file path=xl/calcChain.xml><?xml version="1.0" encoding="utf-8"?>
<calcChain xmlns="http://schemas.openxmlformats.org/spreadsheetml/2006/main">
  <c r="G34" i="1" l="1"/>
  <c r="G48" i="1"/>
  <c r="G55" i="1"/>
</calcChain>
</file>

<file path=xl/sharedStrings.xml><?xml version="1.0" encoding="utf-8"?>
<sst xmlns="http://schemas.openxmlformats.org/spreadsheetml/2006/main" count="60" uniqueCount="60">
  <si>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</si>
  <si>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</si>
  <si>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</si>
  <si>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</si>
  <si>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</si>
  <si>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</si>
  <si>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</si>
  <si>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</si>
  <si>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</si>
  <si>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ITC</t>
  </si>
  <si>
    <t>HINDUNILVR</t>
  </si>
  <si>
    <t>TCS</t>
  </si>
  <si>
    <t>SBIETFIT</t>
  </si>
  <si>
    <t>SBICARD</t>
  </si>
  <si>
    <t>ANANTRAJ</t>
  </si>
  <si>
    <t>KEC</t>
  </si>
  <si>
    <t>FMCGIETF</t>
  </si>
  <si>
    <t>OLAELEC</t>
  </si>
  <si>
    <t>SONATSOFTW</t>
  </si>
  <si>
    <t>ASIANPAINT</t>
  </si>
  <si>
    <t>ITCHOTELS</t>
  </si>
  <si>
    <t>PNBHOUSING</t>
  </si>
  <si>
    <t>NBCC</t>
  </si>
  <si>
    <t>VBL</t>
  </si>
  <si>
    <t>INFY</t>
  </si>
  <si>
    <t>HAVELLS</t>
  </si>
  <si>
    <t>CDSL</t>
  </si>
  <si>
    <t>HYUNDAI</t>
  </si>
  <si>
    <t>PVRINOX</t>
  </si>
  <si>
    <t>CONSUMBEES</t>
  </si>
  <si>
    <t>HDFCLIFE</t>
  </si>
  <si>
    <t>EQUITASBNK</t>
  </si>
  <si>
    <t>CHEMICAL</t>
  </si>
  <si>
    <t>BANDHANBNK</t>
  </si>
  <si>
    <t>IDFCFIRSTB</t>
  </si>
  <si>
    <t>GLAND</t>
  </si>
  <si>
    <t>KWIL</t>
  </si>
  <si>
    <t>HDFCBANK</t>
  </si>
  <si>
    <t>MAXHEALTH</t>
  </si>
  <si>
    <t>UNITDSPR</t>
  </si>
  <si>
    <t>PIRAMALFIN</t>
  </si>
  <si>
    <t>TATSILV</t>
  </si>
  <si>
    <t>SETFNIF50</t>
  </si>
  <si>
    <t>NMDC</t>
  </si>
  <si>
    <t>SETFNN50</t>
  </si>
  <si>
    <t>KOTAKBANK</t>
  </si>
  <si>
    <t>PPLPHARMA</t>
  </si>
  <si>
    <t>CGPOWER</t>
  </si>
  <si>
    <t>TATAPOWER</t>
  </si>
  <si>
    <t>MOTHERSON</t>
  </si>
  <si>
    <t>UJJIVANSFB</t>
  </si>
  <si>
    <t>PNB</t>
  </si>
  <si>
    <t>VOLTAS</t>
  </si>
  <si>
    <t>HDFCSILVER</t>
  </si>
  <si>
    <t>BIOCON</t>
  </si>
  <si>
    <t>GOLDBEES</t>
  </si>
  <si>
    <t>SBIN</t>
  </si>
  <si>
    <t>GOLDIETF</t>
  </si>
  <si>
    <t>SGBFEB32IV-GB</t>
  </si>
  <si>
    <t>SETFGOLD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</si>
</sst>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E8D0-6A3D-4C26-BE36-E12E6D6EF171}">
  <dimension ref="A1:I55"/>
  <sheetViews>
    <sheetView tabSelected="1" topLeftCell="A25" zoomScaleNormal="100" workbookViewId="0">
      <selection activeCell="M48" sqref="M48"/>
    </sheetView>
  </sheetViews>
  <sheetFormatPr defaultRowHeight="15" x14ac:dyDescent="0.25"/>
  <cols>
    <col min="1" max="1" width="14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300</v>
      </c>
      <c r="C2">
        <v>392.57</v>
      </c>
      <c r="D2">
        <v>301.45</v>
      </c>
      <c r="E2">
        <v>117769.7</v>
      </c>
      <c r="F2">
        <v>90435</v>
      </c>
      <c r="G2" s="2">
        <v>-27334.7</v>
      </c>
      <c r="H2">
        <v>-23.21</v>
      </c>
      <c r="I2">
        <v>-0.87</v>
      </c>
    </row>
    <row r="3" spans="1:9" x14ac:dyDescent="0.25">
      <c r="A3" t="s">
        <v>10</v>
      </c>
      <c r="B3">
        <v>90</v>
      </c>
      <c r="C3">
        <v>2446.4699999999998</v>
      </c>
      <c r="D3">
        <v>2160</v>
      </c>
      <c r="E3">
        <v>220182.45</v>
      </c>
      <c r="F3">
        <v>194400</v>
      </c>
      <c r="G3" s="2">
        <v>-25782.45</v>
      </c>
      <c r="H3">
        <v>-11.71</v>
      </c>
      <c r="I3">
        <v>1.08</v>
      </c>
    </row>
    <row r="4" spans="1:9" x14ac:dyDescent="0.25">
      <c r="A4" t="s">
        <v>11</v>
      </c>
      <c r="B4">
        <v>20</v>
      </c>
      <c r="C4">
        <v>3452.85</v>
      </c>
      <c r="D4">
        <v>2410.3000000000002</v>
      </c>
      <c r="E4">
        <v>69057</v>
      </c>
      <c r="F4">
        <v>48206</v>
      </c>
      <c r="G4" s="2">
        <v>-20851</v>
      </c>
      <c r="H4">
        <v>-30.19</v>
      </c>
      <c r="I4">
        <v>-1.33</v>
      </c>
    </row>
    <row r="5" spans="1:9" x14ac:dyDescent="0.25">
      <c r="A5" t="s">
        <v>12</v>
      </c>
      <c r="B5">
        <v>200</v>
      </c>
      <c r="C5">
        <v>401.05</v>
      </c>
      <c r="D5">
        <v>320.33999999999997</v>
      </c>
      <c r="E5">
        <v>80210.5</v>
      </c>
      <c r="F5">
        <v>64068</v>
      </c>
      <c r="G5" s="2">
        <v>-16142.5</v>
      </c>
      <c r="H5">
        <v>-20.13</v>
      </c>
      <c r="I5">
        <v>-1.9</v>
      </c>
    </row>
    <row r="6" spans="1:9" x14ac:dyDescent="0.25">
      <c r="A6" t="s">
        <v>13</v>
      </c>
      <c r="B6">
        <v>120</v>
      </c>
      <c r="C6">
        <v>829.13</v>
      </c>
      <c r="D6">
        <v>704.9</v>
      </c>
      <c r="E6">
        <v>99495.1</v>
      </c>
      <c r="F6">
        <v>84588</v>
      </c>
      <c r="G6" s="2">
        <v>-14907.1</v>
      </c>
      <c r="H6">
        <v>-14.98</v>
      </c>
      <c r="I6">
        <v>-0.75</v>
      </c>
    </row>
    <row r="7" spans="1:9" x14ac:dyDescent="0.25">
      <c r="A7" t="s">
        <v>14</v>
      </c>
      <c r="B7">
        <v>100</v>
      </c>
      <c r="C7">
        <v>583.25</v>
      </c>
      <c r="D7">
        <v>449.9</v>
      </c>
      <c r="E7">
        <v>58325</v>
      </c>
      <c r="F7">
        <v>44990</v>
      </c>
      <c r="G7" s="2">
        <v>-13335</v>
      </c>
      <c r="H7">
        <v>-22.86</v>
      </c>
      <c r="I7">
        <v>-4.3499999999999996</v>
      </c>
    </row>
    <row r="8" spans="1:9" x14ac:dyDescent="0.25">
      <c r="A8" t="s">
        <v>15</v>
      </c>
      <c r="B8">
        <v>50</v>
      </c>
      <c r="C8">
        <v>802.85</v>
      </c>
      <c r="D8">
        <v>549.04999999999995</v>
      </c>
      <c r="E8">
        <v>40142.35</v>
      </c>
      <c r="F8">
        <v>27452.5</v>
      </c>
      <c r="G8" s="2">
        <v>-12689.85</v>
      </c>
      <c r="H8">
        <v>-31.61</v>
      </c>
      <c r="I8">
        <v>-2.0499999999999998</v>
      </c>
    </row>
    <row r="9" spans="1:9" x14ac:dyDescent="0.25">
      <c r="A9" t="s">
        <v>16</v>
      </c>
      <c r="B9">
        <v>1560</v>
      </c>
      <c r="C9">
        <v>59.4</v>
      </c>
      <c r="D9">
        <v>51.3</v>
      </c>
      <c r="E9">
        <v>92662.9</v>
      </c>
      <c r="F9">
        <v>80028</v>
      </c>
      <c r="G9" s="2">
        <v>-12634.9</v>
      </c>
      <c r="H9">
        <v>-13.64</v>
      </c>
      <c r="I9">
        <v>-0.25</v>
      </c>
    </row>
    <row r="10" spans="1:9" x14ac:dyDescent="0.25">
      <c r="A10" t="s">
        <v>17</v>
      </c>
      <c r="B10">
        <v>600</v>
      </c>
      <c r="C10">
        <v>42.95</v>
      </c>
      <c r="D10">
        <v>23.1</v>
      </c>
      <c r="E10">
        <v>25772.78</v>
      </c>
      <c r="F10">
        <v>13860</v>
      </c>
      <c r="G10" s="2">
        <v>-11912.78</v>
      </c>
      <c r="H10">
        <v>-46.22</v>
      </c>
      <c r="I10">
        <v>-2.65</v>
      </c>
    </row>
    <row r="11" spans="1:9" x14ac:dyDescent="0.25">
      <c r="A11" t="s">
        <v>18</v>
      </c>
      <c r="B11">
        <v>50</v>
      </c>
      <c r="C11">
        <v>460.52</v>
      </c>
      <c r="D11">
        <v>235.75</v>
      </c>
      <c r="E11">
        <v>23026</v>
      </c>
      <c r="F11">
        <v>11787.5</v>
      </c>
      <c r="G11" s="2">
        <v>-11238.5</v>
      </c>
      <c r="H11">
        <v>-48.81</v>
      </c>
      <c r="I11">
        <v>-2.76</v>
      </c>
    </row>
    <row r="12" spans="1:9" x14ac:dyDescent="0.25">
      <c r="A12" t="s">
        <v>19</v>
      </c>
      <c r="B12">
        <v>20</v>
      </c>
      <c r="C12">
        <v>2727.3</v>
      </c>
      <c r="D12">
        <v>2196.25</v>
      </c>
      <c r="E12">
        <v>54546</v>
      </c>
      <c r="F12">
        <v>43925</v>
      </c>
      <c r="G12" s="2">
        <v>-10621</v>
      </c>
      <c r="H12">
        <v>-19.47</v>
      </c>
      <c r="I12">
        <v>-1.1399999999999999</v>
      </c>
    </row>
    <row r="13" spans="1:9" x14ac:dyDescent="0.25">
      <c r="A13" t="s">
        <v>20</v>
      </c>
      <c r="B13">
        <v>20</v>
      </c>
      <c r="C13">
        <v>593.72</v>
      </c>
      <c r="D13">
        <v>153.15</v>
      </c>
      <c r="E13">
        <v>11874.35</v>
      </c>
      <c r="F13">
        <v>3063</v>
      </c>
      <c r="G13" s="2">
        <v>-8811.35</v>
      </c>
      <c r="H13">
        <v>-74.2</v>
      </c>
      <c r="I13">
        <v>-3.13</v>
      </c>
    </row>
    <row r="14" spans="1:9" x14ac:dyDescent="0.25">
      <c r="A14" t="s">
        <v>21</v>
      </c>
      <c r="B14">
        <v>70</v>
      </c>
      <c r="C14">
        <v>876.03</v>
      </c>
      <c r="D14">
        <v>764.35</v>
      </c>
      <c r="E14">
        <v>61321.95</v>
      </c>
      <c r="F14">
        <v>53504.5</v>
      </c>
      <c r="G14" s="2">
        <v>-7817.45</v>
      </c>
      <c r="H14">
        <v>-12.75</v>
      </c>
      <c r="I14">
        <v>-2.09</v>
      </c>
    </row>
    <row r="15" spans="1:9" x14ac:dyDescent="0.25">
      <c r="A15" t="s">
        <v>22</v>
      </c>
      <c r="B15">
        <v>400</v>
      </c>
      <c r="C15">
        <v>102.47</v>
      </c>
      <c r="D15">
        <v>83.2</v>
      </c>
      <c r="E15">
        <v>40986</v>
      </c>
      <c r="F15">
        <v>33280</v>
      </c>
      <c r="G15" s="2">
        <v>-7706</v>
      </c>
      <c r="H15">
        <v>-18.8</v>
      </c>
      <c r="I15">
        <v>-3.9</v>
      </c>
    </row>
    <row r="16" spans="1:9" x14ac:dyDescent="0.25">
      <c r="A16" t="s">
        <v>23</v>
      </c>
      <c r="B16">
        <v>100</v>
      </c>
      <c r="C16">
        <v>477.06</v>
      </c>
      <c r="D16">
        <v>401.3</v>
      </c>
      <c r="E16">
        <v>47706.2</v>
      </c>
      <c r="F16">
        <v>40130</v>
      </c>
      <c r="G16" s="2">
        <v>-7576.2</v>
      </c>
      <c r="H16">
        <v>-15.88</v>
      </c>
      <c r="I16">
        <v>-2.37</v>
      </c>
    </row>
    <row r="17" spans="1:9" x14ac:dyDescent="0.25">
      <c r="A17" t="s">
        <v>24</v>
      </c>
      <c r="B17">
        <v>18</v>
      </c>
      <c r="C17">
        <v>1585.4</v>
      </c>
      <c r="D17">
        <v>1248.5</v>
      </c>
      <c r="E17">
        <v>28537.200000000001</v>
      </c>
      <c r="F17">
        <v>22473</v>
      </c>
      <c r="G17" s="2">
        <v>-6064.2</v>
      </c>
      <c r="H17">
        <v>-21.25</v>
      </c>
      <c r="I17">
        <v>-1.37</v>
      </c>
    </row>
    <row r="18" spans="1:9" x14ac:dyDescent="0.25">
      <c r="A18" t="s">
        <v>25</v>
      </c>
      <c r="B18">
        <v>40</v>
      </c>
      <c r="C18">
        <v>1449.7</v>
      </c>
      <c r="D18">
        <v>1310.2</v>
      </c>
      <c r="E18">
        <v>57988</v>
      </c>
      <c r="F18">
        <v>52408</v>
      </c>
      <c r="G18" s="2">
        <v>-5580</v>
      </c>
      <c r="H18">
        <v>-9.6199999999999992</v>
      </c>
      <c r="I18">
        <v>-3.23</v>
      </c>
    </row>
    <row r="19" spans="1:9" x14ac:dyDescent="0.25">
      <c r="A19" t="s">
        <v>26</v>
      </c>
      <c r="B19">
        <v>30</v>
      </c>
      <c r="C19">
        <v>1357.2</v>
      </c>
      <c r="D19">
        <v>1176.5</v>
      </c>
      <c r="E19">
        <v>40716</v>
      </c>
      <c r="F19">
        <v>35295</v>
      </c>
      <c r="G19" s="2">
        <v>-5421</v>
      </c>
      <c r="H19">
        <v>-13.31</v>
      </c>
      <c r="I19">
        <v>-2.83</v>
      </c>
    </row>
    <row r="20" spans="1:9" x14ac:dyDescent="0.25">
      <c r="A20" t="s">
        <v>27</v>
      </c>
      <c r="B20">
        <v>15</v>
      </c>
      <c r="C20">
        <v>2326.6999999999998</v>
      </c>
      <c r="D20">
        <v>2018</v>
      </c>
      <c r="E20">
        <v>34900.5</v>
      </c>
      <c r="F20">
        <v>30270</v>
      </c>
      <c r="G20" s="2">
        <v>-4630.5</v>
      </c>
      <c r="H20">
        <v>-13.27</v>
      </c>
      <c r="I20">
        <v>1.17</v>
      </c>
    </row>
    <row r="21" spans="1:9" x14ac:dyDescent="0.25">
      <c r="A21" t="s">
        <v>28</v>
      </c>
      <c r="B21">
        <v>10</v>
      </c>
      <c r="C21">
        <v>1396.05</v>
      </c>
      <c r="D21">
        <v>973.9</v>
      </c>
      <c r="E21">
        <v>13960.5</v>
      </c>
      <c r="F21">
        <v>9739</v>
      </c>
      <c r="G21" s="2">
        <v>-4221.5</v>
      </c>
      <c r="H21">
        <v>-30.24</v>
      </c>
      <c r="I21">
        <v>-2.25</v>
      </c>
    </row>
    <row r="22" spans="1:9" x14ac:dyDescent="0.25">
      <c r="A22" t="s">
        <v>29</v>
      </c>
      <c r="B22">
        <v>200</v>
      </c>
      <c r="C22">
        <v>138.77000000000001</v>
      </c>
      <c r="D22">
        <v>117.92</v>
      </c>
      <c r="E22">
        <v>27753.41</v>
      </c>
      <c r="F22">
        <v>23584</v>
      </c>
      <c r="G22" s="2">
        <v>-4169.41</v>
      </c>
      <c r="H22">
        <v>-15.02</v>
      </c>
      <c r="I22">
        <v>-1.25</v>
      </c>
    </row>
    <row r="23" spans="1:9" x14ac:dyDescent="0.25">
      <c r="A23" t="s">
        <v>30</v>
      </c>
      <c r="B23">
        <v>100</v>
      </c>
      <c r="C23">
        <v>665.47</v>
      </c>
      <c r="D23">
        <v>625.75</v>
      </c>
      <c r="E23">
        <v>66547.399999999994</v>
      </c>
      <c r="F23">
        <v>62575</v>
      </c>
      <c r="G23" s="2">
        <v>-3972.4</v>
      </c>
      <c r="H23">
        <v>-5.97</v>
      </c>
      <c r="I23">
        <v>-3.09</v>
      </c>
    </row>
    <row r="24" spans="1:9" x14ac:dyDescent="0.25">
      <c r="A24" t="s">
        <v>31</v>
      </c>
      <c r="B24">
        <v>150</v>
      </c>
      <c r="C24">
        <v>81.27</v>
      </c>
      <c r="D24">
        <v>56.22</v>
      </c>
      <c r="E24">
        <v>12190.5</v>
      </c>
      <c r="F24">
        <v>8433</v>
      </c>
      <c r="G24" s="2">
        <v>-3757.5</v>
      </c>
      <c r="H24">
        <v>-30.82</v>
      </c>
      <c r="I24">
        <v>-0.97</v>
      </c>
    </row>
    <row r="25" spans="1:9" x14ac:dyDescent="0.25">
      <c r="A25" t="s">
        <v>32</v>
      </c>
      <c r="B25">
        <v>1400</v>
      </c>
      <c r="C25">
        <v>29.01</v>
      </c>
      <c r="D25">
        <v>26.43</v>
      </c>
      <c r="E25">
        <v>40609.699999999997</v>
      </c>
      <c r="F25">
        <v>37002</v>
      </c>
      <c r="G25" s="2">
        <v>-3607.7</v>
      </c>
      <c r="H25">
        <v>-8.8800000000000008</v>
      </c>
      <c r="I25">
        <v>-2.58</v>
      </c>
    </row>
    <row r="26" spans="1:9" x14ac:dyDescent="0.25">
      <c r="A26" t="s">
        <v>33</v>
      </c>
      <c r="B26">
        <v>100</v>
      </c>
      <c r="C26">
        <v>205.3</v>
      </c>
      <c r="D26">
        <v>175.5</v>
      </c>
      <c r="E26">
        <v>20530.3</v>
      </c>
      <c r="F26">
        <v>17550</v>
      </c>
      <c r="G26" s="2">
        <v>-2980.3</v>
      </c>
      <c r="H26">
        <v>-14.52</v>
      </c>
      <c r="I26">
        <v>-1.41</v>
      </c>
    </row>
    <row r="27" spans="1:9" x14ac:dyDescent="0.25">
      <c r="A27" t="s">
        <v>34</v>
      </c>
      <c r="B27">
        <v>200</v>
      </c>
      <c r="C27">
        <v>76.900000000000006</v>
      </c>
      <c r="D27">
        <v>62.57</v>
      </c>
      <c r="E27">
        <v>15379.32</v>
      </c>
      <c r="F27">
        <v>12514</v>
      </c>
      <c r="G27" s="2">
        <v>-2865.32</v>
      </c>
      <c r="H27">
        <v>-18.63</v>
      </c>
      <c r="I27">
        <v>-3.44</v>
      </c>
    </row>
    <row r="28" spans="1:9" x14ac:dyDescent="0.25">
      <c r="A28" t="s">
        <v>35</v>
      </c>
      <c r="B28">
        <v>4</v>
      </c>
      <c r="C28">
        <v>2339.96</v>
      </c>
      <c r="D28">
        <v>1624</v>
      </c>
      <c r="E28">
        <v>9359.85</v>
      </c>
      <c r="F28">
        <v>6496</v>
      </c>
      <c r="G28" s="2">
        <v>-2863.85</v>
      </c>
      <c r="H28">
        <v>-30.6</v>
      </c>
      <c r="I28">
        <v>-1.96</v>
      </c>
    </row>
    <row r="29" spans="1:9" x14ac:dyDescent="0.25">
      <c r="A29" t="s">
        <v>36</v>
      </c>
      <c r="B29">
        <v>90</v>
      </c>
      <c r="C29">
        <v>46.73</v>
      </c>
      <c r="D29">
        <v>24.85</v>
      </c>
      <c r="E29">
        <v>4205.4799999999996</v>
      </c>
      <c r="F29">
        <v>2236.5</v>
      </c>
      <c r="G29" s="2">
        <v>-1968.98</v>
      </c>
      <c r="H29">
        <v>-46.82</v>
      </c>
      <c r="I29">
        <v>-2.89</v>
      </c>
    </row>
    <row r="30" spans="1:9" x14ac:dyDescent="0.25">
      <c r="A30" t="s">
        <v>37</v>
      </c>
      <c r="B30">
        <v>30</v>
      </c>
      <c r="C30">
        <v>871.15</v>
      </c>
      <c r="D30">
        <v>817</v>
      </c>
      <c r="E30">
        <v>26134.5</v>
      </c>
      <c r="F30">
        <v>24510</v>
      </c>
      <c r="G30" s="2">
        <v>-1624.5</v>
      </c>
      <c r="H30">
        <v>-6.22</v>
      </c>
      <c r="I30">
        <v>-1.89</v>
      </c>
    </row>
    <row r="31" spans="1:9" x14ac:dyDescent="0.25">
      <c r="A31" t="s">
        <v>38</v>
      </c>
      <c r="B31">
        <v>50</v>
      </c>
      <c r="C31">
        <v>1011.85</v>
      </c>
      <c r="D31">
        <v>990</v>
      </c>
      <c r="E31">
        <v>50592.5</v>
      </c>
      <c r="F31">
        <v>49500</v>
      </c>
      <c r="G31" s="2">
        <v>-1092.5</v>
      </c>
      <c r="H31">
        <v>-2.16</v>
      </c>
      <c r="I31">
        <v>-2.98</v>
      </c>
    </row>
    <row r="32" spans="1:9" x14ac:dyDescent="0.25">
      <c r="A32" t="s">
        <v>39</v>
      </c>
      <c r="B32">
        <v>40</v>
      </c>
      <c r="C32">
        <v>1332.4</v>
      </c>
      <c r="D32">
        <v>1315.05</v>
      </c>
      <c r="E32">
        <v>53296</v>
      </c>
      <c r="F32">
        <v>52602</v>
      </c>
      <c r="G32" s="2">
        <v>-694</v>
      </c>
      <c r="H32">
        <v>-1.3</v>
      </c>
      <c r="I32">
        <v>-3.59</v>
      </c>
    </row>
    <row r="33" spans="1:9" x14ac:dyDescent="0.25">
      <c r="A33" t="s">
        <v>40</v>
      </c>
      <c r="B33">
        <v>5</v>
      </c>
      <c r="C33">
        <v>1792.73</v>
      </c>
      <c r="D33">
        <v>1746.9</v>
      </c>
      <c r="E33">
        <v>8963.65</v>
      </c>
      <c r="F33">
        <v>8734.5</v>
      </c>
      <c r="G33" s="2">
        <v>-229.15</v>
      </c>
      <c r="H33">
        <v>-2.56</v>
      </c>
      <c r="I33">
        <v>-2.2599999999999998</v>
      </c>
    </row>
    <row r="34" spans="1:9" x14ac:dyDescent="0.25">
      <c r="G34" s="2">
        <f>SUM(G2:G33)</f>
        <v>-265103.59000000008</v>
      </c>
    </row>
    <row r="35" spans="1:9" s="1" customFormat="1" x14ac:dyDescent="0.25">
      <c r="A35" s="1" t="s">
        <v>42</v>
      </c>
      <c r="B35" s="1">
        <v>150</v>
      </c>
      <c r="C35" s="1">
        <v>241.29</v>
      </c>
      <c r="D35" s="1">
        <v>248.16</v>
      </c>
      <c r="E35" s="1">
        <v>36193.279999999999</v>
      </c>
      <c r="F35" s="1">
        <v>37224</v>
      </c>
      <c r="G35" s="1">
        <v>1030.72</v>
      </c>
      <c r="H35" s="1">
        <v>2.85</v>
      </c>
      <c r="I35" s="1">
        <v>-1.95</v>
      </c>
    </row>
    <row r="36" spans="1:9" s="1" customFormat="1" x14ac:dyDescent="0.25">
      <c r="A36" s="1" t="s">
        <v>43</v>
      </c>
      <c r="B36" s="1">
        <v>400</v>
      </c>
      <c r="C36" s="1">
        <v>75.599999999999994</v>
      </c>
      <c r="D36" s="1">
        <v>78.59</v>
      </c>
      <c r="E36" s="1">
        <v>30240</v>
      </c>
      <c r="F36" s="1">
        <v>31436</v>
      </c>
      <c r="G36" s="1">
        <v>1196</v>
      </c>
      <c r="H36" s="1">
        <v>3.96</v>
      </c>
      <c r="I36" s="1">
        <v>-2.82</v>
      </c>
    </row>
    <row r="37" spans="1:9" s="1" customFormat="1" x14ac:dyDescent="0.25">
      <c r="A37" s="1" t="s">
        <v>44</v>
      </c>
      <c r="B37" s="1">
        <v>100</v>
      </c>
      <c r="C37" s="1">
        <v>677.92</v>
      </c>
      <c r="D37" s="1">
        <v>691.71</v>
      </c>
      <c r="E37" s="1">
        <v>67792.36</v>
      </c>
      <c r="F37" s="1">
        <v>69171</v>
      </c>
      <c r="G37" s="1">
        <v>1378.64</v>
      </c>
      <c r="H37" s="1">
        <v>2.0299999999999998</v>
      </c>
      <c r="I37" s="1">
        <v>-2.59</v>
      </c>
    </row>
    <row r="38" spans="1:9" s="1" customFormat="1" x14ac:dyDescent="0.25">
      <c r="A38" s="1" t="s">
        <v>45</v>
      </c>
      <c r="B38" s="1">
        <v>150</v>
      </c>
      <c r="C38" s="1">
        <v>352.72</v>
      </c>
      <c r="D38" s="1">
        <v>366.65</v>
      </c>
      <c r="E38" s="1">
        <v>52908.65</v>
      </c>
      <c r="F38" s="1">
        <v>54997.5</v>
      </c>
      <c r="G38" s="1">
        <v>2088.85</v>
      </c>
      <c r="H38" s="1">
        <v>3.95</v>
      </c>
      <c r="I38" s="1">
        <v>-2.2999999999999998</v>
      </c>
    </row>
    <row r="39" spans="1:9" s="1" customFormat="1" x14ac:dyDescent="0.25">
      <c r="A39" s="1" t="s">
        <v>46</v>
      </c>
      <c r="B39" s="1">
        <v>20</v>
      </c>
      <c r="C39" s="1">
        <v>31.57</v>
      </c>
      <c r="D39" s="1">
        <v>139.81</v>
      </c>
      <c r="E39" s="1">
        <v>631.35</v>
      </c>
      <c r="F39" s="1">
        <v>2796.2</v>
      </c>
      <c r="G39" s="1">
        <v>2164.85</v>
      </c>
      <c r="H39" s="1">
        <v>342.89</v>
      </c>
      <c r="I39" s="1">
        <v>-3.94</v>
      </c>
    </row>
    <row r="40" spans="1:9" s="1" customFormat="1" x14ac:dyDescent="0.25">
      <c r="A40" s="1" t="s">
        <v>47</v>
      </c>
      <c r="B40" s="1">
        <v>50</v>
      </c>
      <c r="C40" s="1">
        <v>665.5</v>
      </c>
      <c r="D40" s="1">
        <v>709.15</v>
      </c>
      <c r="E40" s="1">
        <v>33275</v>
      </c>
      <c r="F40" s="1">
        <v>35457.5</v>
      </c>
      <c r="G40" s="1">
        <v>2182.5</v>
      </c>
      <c r="H40" s="1">
        <v>6.56</v>
      </c>
      <c r="I40" s="1">
        <v>-3.84</v>
      </c>
    </row>
    <row r="41" spans="1:9" s="1" customFormat="1" x14ac:dyDescent="0.25">
      <c r="A41" s="1" t="s">
        <v>48</v>
      </c>
      <c r="B41" s="1">
        <v>125</v>
      </c>
      <c r="C41" s="1">
        <v>359.4</v>
      </c>
      <c r="D41" s="1">
        <v>394.95</v>
      </c>
      <c r="E41" s="1">
        <v>44925.5</v>
      </c>
      <c r="F41" s="1">
        <v>49368.75</v>
      </c>
      <c r="G41" s="1">
        <v>4443.25</v>
      </c>
      <c r="H41" s="1">
        <v>9.89</v>
      </c>
      <c r="I41" s="1">
        <v>-1.83</v>
      </c>
    </row>
    <row r="42" spans="1:9" s="1" customFormat="1" x14ac:dyDescent="0.25">
      <c r="A42" s="1" t="s">
        <v>49</v>
      </c>
      <c r="B42" s="1">
        <v>300</v>
      </c>
      <c r="C42" s="1">
        <v>98.64</v>
      </c>
      <c r="D42" s="1">
        <v>113.82</v>
      </c>
      <c r="E42" s="1">
        <v>29592</v>
      </c>
      <c r="F42" s="1">
        <v>34146</v>
      </c>
      <c r="G42" s="1">
        <v>4554</v>
      </c>
      <c r="H42" s="1">
        <v>15.39</v>
      </c>
      <c r="I42" s="1">
        <v>-5.28</v>
      </c>
    </row>
    <row r="43" spans="1:9" s="1" customFormat="1" x14ac:dyDescent="0.25">
      <c r="A43" s="1" t="s">
        <v>50</v>
      </c>
      <c r="B43" s="1">
        <v>800</v>
      </c>
      <c r="C43" s="1">
        <v>43.15</v>
      </c>
      <c r="D43" s="1">
        <v>50.68</v>
      </c>
      <c r="E43" s="1">
        <v>34523.1</v>
      </c>
      <c r="F43" s="1">
        <v>40544</v>
      </c>
      <c r="G43" s="1">
        <v>6020.9</v>
      </c>
      <c r="H43" s="1">
        <v>17.440000000000001</v>
      </c>
      <c r="I43" s="1">
        <v>-4.72</v>
      </c>
    </row>
    <row r="44" spans="1:9" s="1" customFormat="1" x14ac:dyDescent="0.25">
      <c r="A44" s="1" t="s">
        <v>51</v>
      </c>
      <c r="B44" s="1">
        <v>500</v>
      </c>
      <c r="C44" s="1">
        <v>99.56</v>
      </c>
      <c r="D44" s="1">
        <v>111.7</v>
      </c>
      <c r="E44" s="1">
        <v>49782.1</v>
      </c>
      <c r="F44" s="1">
        <v>55850</v>
      </c>
      <c r="G44" s="1">
        <v>6067.9</v>
      </c>
      <c r="H44" s="1">
        <v>12.19</v>
      </c>
      <c r="I44" s="1">
        <v>-4.21</v>
      </c>
    </row>
    <row r="45" spans="1:9" s="1" customFormat="1" x14ac:dyDescent="0.25">
      <c r="A45" s="1" t="s">
        <v>52</v>
      </c>
      <c r="B45" s="1">
        <v>50</v>
      </c>
      <c r="C45" s="1">
        <v>1265.25</v>
      </c>
      <c r="D45" s="1">
        <v>1411.85</v>
      </c>
      <c r="E45" s="1">
        <v>63262.7</v>
      </c>
      <c r="F45" s="1">
        <v>70592.5</v>
      </c>
      <c r="G45" s="1">
        <v>7329.8</v>
      </c>
      <c r="H45" s="1">
        <v>11.59</v>
      </c>
      <c r="I45" s="1">
        <v>-2.6</v>
      </c>
    </row>
    <row r="46" spans="1:9" s="1" customFormat="1" x14ac:dyDescent="0.25">
      <c r="A46" s="1" t="s">
        <v>54</v>
      </c>
      <c r="B46" s="1">
        <v>200</v>
      </c>
      <c r="C46" s="1">
        <v>339.58</v>
      </c>
      <c r="D46" s="1">
        <v>385</v>
      </c>
      <c r="E46" s="1">
        <v>67916.800000000003</v>
      </c>
      <c r="F46" s="1">
        <v>77000</v>
      </c>
      <c r="G46" s="1">
        <v>9083.2000000000007</v>
      </c>
      <c r="H46" s="1">
        <v>13.37</v>
      </c>
      <c r="I46" s="1">
        <v>-1.96</v>
      </c>
    </row>
    <row r="47" spans="1:9" s="1" customFormat="1" x14ac:dyDescent="0.25">
      <c r="A47" s="1" t="s">
        <v>56</v>
      </c>
      <c r="B47" s="1">
        <v>100</v>
      </c>
      <c r="C47" s="1">
        <v>799.61</v>
      </c>
      <c r="D47" s="1">
        <v>1046.8</v>
      </c>
      <c r="E47" s="1">
        <v>79961.25</v>
      </c>
      <c r="F47" s="1">
        <v>104680</v>
      </c>
      <c r="G47" s="1">
        <v>24718.75</v>
      </c>
      <c r="H47" s="1">
        <v>30.91</v>
      </c>
      <c r="I47" s="1">
        <v>-3.55</v>
      </c>
    </row>
    <row r="48" spans="1:9" x14ac:dyDescent="0.25">
      <c r="G48">
        <f>SUM(G35:G47)</f>
        <v>72259.360000000001</v>
      </c>
    </row>
    <row r="49" spans="1:9" x14ac:dyDescent="0.25">
      <c r="A49" t="s">
        <v>57</v>
      </c>
      <c r="B49">
        <v>1000</v>
      </c>
      <c r="C49">
        <v>108.97</v>
      </c>
      <c r="D49">
        <v>134.81</v>
      </c>
      <c r="E49">
        <v>108970</v>
      </c>
      <c r="F49">
        <v>134810</v>
      </c>
      <c r="G49">
        <v>25840</v>
      </c>
      <c r="H49">
        <v>23.71</v>
      </c>
      <c r="I49">
        <v>-1.65</v>
      </c>
    </row>
    <row r="50" spans="1:9" x14ac:dyDescent="0.25">
      <c r="A50" t="s">
        <v>58</v>
      </c>
      <c r="B50">
        <v>16</v>
      </c>
      <c r="C50">
        <v>6213</v>
      </c>
      <c r="D50">
        <v>16674.189999999999</v>
      </c>
      <c r="E50">
        <v>99408</v>
      </c>
      <c r="F50">
        <v>266787.03999999998</v>
      </c>
      <c r="G50">
        <v>167379.04</v>
      </c>
      <c r="H50">
        <v>168.38</v>
      </c>
      <c r="I50">
        <v>-0.61</v>
      </c>
    </row>
    <row r="51" spans="1:9" x14ac:dyDescent="0.25">
      <c r="A51" t="s">
        <v>59</v>
      </c>
      <c r="B51">
        <v>7600</v>
      </c>
      <c r="C51">
        <v>76.010000000000005</v>
      </c>
      <c r="D51">
        <v>134.49</v>
      </c>
      <c r="E51">
        <v>577647.43999999994</v>
      </c>
      <c r="F51">
        <v>1022124</v>
      </c>
      <c r="G51">
        <v>444476.56</v>
      </c>
      <c r="H51">
        <v>76.95</v>
      </c>
      <c r="I51">
        <v>-1.55</v>
      </c>
    </row>
    <row r="52" spans="1:9" x14ac:dyDescent="0.25">
      <c r="A52" t="s">
        <v>55</v>
      </c>
      <c r="B52">
        <v>1000</v>
      </c>
      <c r="C52">
        <v>114.79</v>
      </c>
      <c r="D52">
        <v>130.32</v>
      </c>
      <c r="E52">
        <v>114792</v>
      </c>
      <c r="F52">
        <v>130320</v>
      </c>
      <c r="G52">
        <v>15528</v>
      </c>
      <c r="H52">
        <v>13.53</v>
      </c>
      <c r="I52">
        <v>-1.59</v>
      </c>
    </row>
    <row r="53" spans="1:9" x14ac:dyDescent="0.25">
      <c r="A53" t="s">
        <v>41</v>
      </c>
      <c r="B53">
        <v>200</v>
      </c>
      <c r="C53">
        <v>25.07</v>
      </c>
      <c r="D53">
        <v>24.78</v>
      </c>
      <c r="E53">
        <v>5014.8</v>
      </c>
      <c r="F53">
        <v>4956</v>
      </c>
      <c r="G53">
        <v>-58.8</v>
      </c>
      <c r="H53">
        <v>-1.17</v>
      </c>
      <c r="I53">
        <v>-3.65</v>
      </c>
    </row>
    <row r="54" spans="1:9" x14ac:dyDescent="0.25">
      <c r="A54" t="s">
        <v>53</v>
      </c>
      <c r="B54">
        <v>1100</v>
      </c>
      <c r="C54">
        <v>236.44</v>
      </c>
      <c r="D54">
        <v>244.21</v>
      </c>
      <c r="E54">
        <v>260082.56</v>
      </c>
      <c r="F54">
        <v>268631</v>
      </c>
      <c r="G54">
        <v>8548.44</v>
      </c>
      <c r="H54">
        <v>3.29</v>
      </c>
      <c r="I54">
        <v>-3.68</v>
      </c>
    </row>
    <row r="55" spans="1:9" x14ac:dyDescent="0.25">
      <c r="G55">
        <f>SUM(G49:G54)</f>
        <v>661713.23999999987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mohapatro</dc:creator>
  <cp:lastModifiedBy>sudhir mohapatro</cp:lastModifiedBy>
  <dcterms:created xsi:type="dcterms:W3CDTF">2026-03-13T16:15:54Z</dcterms:created>
  <dcterms:modified xsi:type="dcterms:W3CDTF">2026-03-13T16:15:54Z</dcterms:modified>
</cp:coreProperties>
</file>