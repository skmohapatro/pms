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ment\pms\"/>
    </mc:Choice>
  </mc:AlternateContent>
  <xr:revisionPtr revIDLastSave="0" documentId="13_ncr:1_{AB7130A4-4545-4B36-AE37-FAA0501F61D3}" xr6:coauthVersionLast="47" xr6:coauthVersionMax="47" xr10:uidLastSave="{00000000-0000-0000-0000-000000000000}"/>
  <bookViews>
    <workbookView xWindow="-120" yWindow="-120" windowWidth="29040" windowHeight="15720" firstSheet="3" activeTab="6" xr2:uid="{A59C9408-6FFB-4B1A-950F-E0ADD8156D3D}"/>
  </bookViews>
  <sheets>
    <sheet name="Purchase Date Wise" sheetId="6" r:id="rId1"/>
    <sheet name="Dec2025 Q" sheetId="20" r:id="rId2"/>
    <sheet name="Company Wise Aggregated Data" sheetId="4" r:id="rId3"/>
    <sheet name="GOLD&amp;SILVER" sheetId="10" r:id="rId4"/>
    <sheet name="MMYY" sheetId="7" r:id="rId5"/>
    <sheet name="YYYY" sheetId="8" r:id="rId6"/>
    <sheet name="Mutualfund" sheetId="11" r:id="rId7"/>
    <sheet name="Large-Small-ETF" sheetId="15" r:id="rId8"/>
    <sheet name="PNL" sheetId="16" r:id="rId9"/>
    <sheet name="Dividends" sheetId="18" r:id="rId10"/>
    <sheet name="Groww Stament" sheetId="19" r:id="rId11"/>
    <sheet name="Rough" sheetId="9" r:id="rId12"/>
    <sheet name="Sheet2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0" i="18" l="1"/>
  <c r="E150" i="6"/>
  <c r="E148" i="6"/>
  <c r="E149" i="6"/>
  <c r="E147" i="6"/>
  <c r="E35" i="6"/>
  <c r="E134" i="6"/>
  <c r="E133" i="6"/>
  <c r="E19" i="6"/>
  <c r="E126" i="6"/>
  <c r="E143" i="6"/>
  <c r="E23" i="6"/>
  <c r="E146" i="6"/>
  <c r="E25" i="9"/>
  <c r="E24" i="9"/>
  <c r="E23" i="9"/>
  <c r="E22" i="9"/>
  <c r="E34" i="6"/>
  <c r="E68" i="6"/>
  <c r="E99" i="6"/>
  <c r="E112" i="6"/>
  <c r="E145" i="6"/>
  <c r="E144" i="6"/>
  <c r="E19" i="9"/>
  <c r="E18" i="9"/>
  <c r="E17" i="9"/>
  <c r="E111" i="6"/>
  <c r="E123" i="6"/>
  <c r="E142" i="6"/>
  <c r="E22" i="6"/>
  <c r="E15" i="9"/>
  <c r="E14" i="9"/>
  <c r="E50" i="15"/>
  <c r="E43" i="15"/>
  <c r="E37" i="15"/>
  <c r="E18" i="15"/>
  <c r="E10" i="15"/>
  <c r="E67" i="6"/>
  <c r="E140" i="6"/>
  <c r="E42" i="11"/>
  <c r="F42" i="11" s="1"/>
  <c r="E41" i="11"/>
  <c r="F41" i="11" s="1"/>
  <c r="E40" i="11"/>
  <c r="F40" i="11" s="1"/>
  <c r="E38" i="11"/>
  <c r="F38" i="11" s="1"/>
  <c r="E37" i="11"/>
  <c r="F37" i="11" s="1"/>
  <c r="E36" i="11"/>
  <c r="F36" i="11" s="1"/>
  <c r="E35" i="11"/>
  <c r="F35" i="11" s="1"/>
  <c r="E34" i="11"/>
  <c r="F34" i="11" s="1"/>
  <c r="E33" i="11"/>
  <c r="F33" i="11" s="1"/>
  <c r="E32" i="11"/>
  <c r="F32" i="11" s="1"/>
  <c r="E31" i="11"/>
  <c r="F31" i="11" s="1"/>
  <c r="E29" i="11"/>
  <c r="F29" i="11" s="1"/>
  <c r="E28" i="11"/>
  <c r="F28" i="11" s="1"/>
  <c r="E27" i="11"/>
  <c r="F27" i="11" s="1"/>
  <c r="E26" i="11"/>
  <c r="F26" i="11" s="1"/>
  <c r="E12" i="11"/>
  <c r="F12" i="11" s="1"/>
  <c r="E10" i="11"/>
  <c r="F10" i="11" s="1"/>
  <c r="E13" i="11"/>
  <c r="F13" i="11" s="1"/>
  <c r="E14" i="11"/>
  <c r="F14" i="11" s="1"/>
  <c r="E2" i="11"/>
  <c r="F2" i="11" s="1"/>
  <c r="E11" i="11"/>
  <c r="F11" i="11" s="1"/>
  <c r="E18" i="11"/>
  <c r="F18" i="11" s="1"/>
  <c r="E17" i="11"/>
  <c r="F17" i="11" s="1"/>
  <c r="E16" i="11"/>
  <c r="F16" i="11" s="1"/>
  <c r="E5" i="11"/>
  <c r="F5" i="11" s="1"/>
  <c r="E3" i="11"/>
  <c r="F3" i="11" s="1"/>
  <c r="E4" i="11"/>
  <c r="F4" i="11" s="1"/>
  <c r="E6" i="11"/>
  <c r="F6" i="11" s="1"/>
  <c r="E9" i="11"/>
  <c r="F9" i="11" s="1"/>
  <c r="E8" i="11"/>
  <c r="F8" i="11" s="1"/>
  <c r="E7" i="11"/>
  <c r="F7" i="11" s="1"/>
  <c r="E139" i="6"/>
  <c r="E141" i="6"/>
  <c r="E28" i="6"/>
  <c r="E7" i="9"/>
  <c r="E6" i="9"/>
  <c r="E5" i="9"/>
  <c r="E4" i="9"/>
  <c r="E3" i="9"/>
  <c r="E138" i="6"/>
  <c r="E137" i="6"/>
  <c r="E136" i="6"/>
  <c r="E135" i="6"/>
  <c r="E132" i="6"/>
  <c r="E131" i="6"/>
  <c r="E130" i="6"/>
  <c r="E129" i="6"/>
  <c r="E128" i="6"/>
  <c r="E127" i="6"/>
  <c r="E125" i="6"/>
  <c r="E124" i="6"/>
  <c r="E122" i="6"/>
  <c r="E121" i="6"/>
  <c r="E120" i="6"/>
  <c r="E119" i="6"/>
  <c r="E118" i="6"/>
  <c r="E117" i="6"/>
  <c r="E116" i="6"/>
  <c r="E115" i="6"/>
  <c r="E114" i="6"/>
  <c r="E113" i="6"/>
  <c r="E110" i="6"/>
  <c r="E109" i="6"/>
  <c r="E108" i="6"/>
  <c r="E107" i="6"/>
  <c r="E106" i="6"/>
  <c r="E105" i="6"/>
  <c r="E104" i="6"/>
  <c r="E103" i="6"/>
  <c r="E102" i="6"/>
  <c r="E101" i="6"/>
  <c r="E100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3" i="6"/>
  <c r="E32" i="6"/>
  <c r="E31" i="6"/>
  <c r="E30" i="6"/>
  <c r="E29" i="6"/>
  <c r="E27" i="6"/>
  <c r="E26" i="6"/>
  <c r="E25" i="6"/>
  <c r="E24" i="6"/>
  <c r="E21" i="6"/>
  <c r="E20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8" i="9" l="1"/>
  <c r="H8" i="9" s="1"/>
</calcChain>
</file>

<file path=xl/sharedStrings.xml><?xml version="1.0" encoding="utf-8"?>
<sst xmlns="http://schemas.openxmlformats.org/spreadsheetml/2006/main" count="1030" uniqueCount="426">
  <si>
    <t>ASIANPAINT</t>
  </si>
  <si>
    <t>BANDHANBNK</t>
  </si>
  <si>
    <t>BIOCON</t>
  </si>
  <si>
    <t>CDSL</t>
  </si>
  <si>
    <t>EQUITASBNK</t>
  </si>
  <si>
    <t>FMCGIETF</t>
  </si>
  <si>
    <t>GLAND</t>
  </si>
  <si>
    <t>HAVELLS</t>
  </si>
  <si>
    <t>HDFCLIFE</t>
  </si>
  <si>
    <t>HDFCSILVER</t>
  </si>
  <si>
    <t>HINDUNILVR</t>
  </si>
  <si>
    <t>IDFCFIRSTB</t>
  </si>
  <si>
    <t>INFY</t>
  </si>
  <si>
    <t>ITC</t>
  </si>
  <si>
    <t>ITCHOTELS</t>
  </si>
  <si>
    <t>KOTAKBANK</t>
  </si>
  <si>
    <t>MOTHERSON</t>
  </si>
  <si>
    <t>NMDC</t>
  </si>
  <si>
    <t>OLAELEC-BE</t>
  </si>
  <si>
    <t>PNB</t>
  </si>
  <si>
    <t>PNBHOUSING</t>
  </si>
  <si>
    <t>PVRINOX</t>
  </si>
  <si>
    <t>SBICARD</t>
  </si>
  <si>
    <t>SBIETFIT</t>
  </si>
  <si>
    <t>SBIN</t>
  </si>
  <si>
    <t>SETFGOLD</t>
  </si>
  <si>
    <t>SETFNIF50</t>
  </si>
  <si>
    <t>SETFNN50</t>
  </si>
  <si>
    <t>SGBFEB32IV-GB</t>
  </si>
  <si>
    <t>SONATSOFTW</t>
  </si>
  <si>
    <t>TATAPOWER</t>
  </si>
  <si>
    <t>TATASTEEL</t>
  </si>
  <si>
    <t>TCS</t>
  </si>
  <si>
    <t>UJJIVANSFB</t>
  </si>
  <si>
    <t>VBL</t>
  </si>
  <si>
    <t>VOLTAS</t>
  </si>
  <si>
    <t>Date</t>
  </si>
  <si>
    <t>Company</t>
  </si>
  <si>
    <t>Quantity</t>
  </si>
  <si>
    <t>Price</t>
  </si>
  <si>
    <t>Investment</t>
  </si>
  <si>
    <t>2024-02-29 </t>
  </si>
  <si>
    <t>UNITDSPR</t>
  </si>
  <si>
    <t>KEC</t>
  </si>
  <si>
    <t>SBISILVER</t>
  </si>
  <si>
    <t>GOLDIETF</t>
  </si>
  <si>
    <t>GOLDBEES</t>
  </si>
  <si>
    <t>CONSUMBEES</t>
  </si>
  <si>
    <t>PIRAMALFIN-BE</t>
  </si>
  <si>
    <t>PPLPHARMA</t>
  </si>
  <si>
    <t>MMYY</t>
  </si>
  <si>
    <t>Purchase Companies</t>
  </si>
  <si>
    <t>inv_amount</t>
  </si>
  <si>
    <t>AUG2022</t>
  </si>
  <si>
    <t>GLAND
PIRAMALFIN-BE
PPLPHARMA</t>
  </si>
  <si>
    <t>SEP2023</t>
  </si>
  <si>
    <t>OCT2023</t>
  </si>
  <si>
    <t>ITC
ITCHOTELS
SETFNN50</t>
  </si>
  <si>
    <t>DEC2023</t>
  </si>
  <si>
    <t>ITC
ITCHOTELS
KOTAKBANK</t>
  </si>
  <si>
    <t>JAN2024</t>
  </si>
  <si>
    <t>ITC
ITCHOTELS</t>
  </si>
  <si>
    <t>FEB2024</t>
  </si>
  <si>
    <t>ITC
ITCHOTELS
SGBFEB32IV-GB</t>
  </si>
  <si>
    <t>APR2024</t>
  </si>
  <si>
    <t>HINDUNILVR
IDFCFIRSTB
PVRINOX
SETFGOLD</t>
  </si>
  <si>
    <t>MAY2024</t>
  </si>
  <si>
    <t>JUN2024</t>
  </si>
  <si>
    <t>SBIN
SETFGOLD
UJJIVANSFB</t>
  </si>
  <si>
    <t>JUL2024</t>
  </si>
  <si>
    <t>BANDHANBNK
HDFCLIFE
HINDUNILVR
SBICARD
SONATSOFTW</t>
  </si>
  <si>
    <t>AUG2024</t>
  </si>
  <si>
    <t>ASIANPAINT
SBIN
SETFGOLD</t>
  </si>
  <si>
    <t>SEP2024</t>
  </si>
  <si>
    <t>BANDHANBNK
EQUITASBNK
IDFCFIRSTB
SBIN
TATASTEEL</t>
  </si>
  <si>
    <t>OCT2024</t>
  </si>
  <si>
    <t>BIOCON
HINDUNILVR
PNB
SBICARD
SBIN</t>
  </si>
  <si>
    <t>NOV2024</t>
  </si>
  <si>
    <t>SETFGOLD
SETFNIF50</t>
  </si>
  <si>
    <t>DEC2024</t>
  </si>
  <si>
    <t>PNBHOUSING
SETFNN50</t>
  </si>
  <si>
    <t>JAN2025</t>
  </si>
  <si>
    <t>CDSL
HDFCLIFE
HINDUNILVR
PNB
PNBHOUSING
SETFNN50
TATASTEEL
UJJIVANSFB
VOLTAS</t>
  </si>
  <si>
    <t>FEB2025</t>
  </si>
  <si>
    <t>ASIANPAINT
BIOCON
VOLTAS</t>
  </si>
  <si>
    <t>MAR2025</t>
  </si>
  <si>
    <t>SETFNIF50
SETFNN50
SONATSOFTW
TATAPOWER</t>
  </si>
  <si>
    <t>APR2025</t>
  </si>
  <si>
    <t>MAY2025</t>
  </si>
  <si>
    <t>SETFGOLD
VOLTAS</t>
  </si>
  <si>
    <t>JUN2025</t>
  </si>
  <si>
    <t>HAVELLS
HINDUNILVR
INFY
ITC
PNB
SBIETFIT
TCS</t>
  </si>
  <si>
    <t>JUL2025</t>
  </si>
  <si>
    <t>FMCGIETF
ITC
SBICARD</t>
  </si>
  <si>
    <t>AUG2025</t>
  </si>
  <si>
    <t>HDFCLIFE
HDFCSILVER
PNB
PNBHOUSING</t>
  </si>
  <si>
    <t>SEP2025</t>
  </si>
  <si>
    <t>BANDHANBNK
BIOCON
CDSL
FMCGIETF
HDFCSILVER
IDFCFIRSTB
KEC
MOTHERSON
NMDC
OLAELEC-BE
PNBHOUSING
SBICARD
SETFGOLD
SETFNN50
UJJIVANSFB
UNITDSPR
VBL</t>
  </si>
  <si>
    <t>OCT2025</t>
  </si>
  <si>
    <t>CONSUMBEES
FMCGIETF
GOLDBEES
GOLDIETF
HDFCLIFE
HDFCSILVER
KOTAKBANK
SBISILVER
SETFGOLD
VBL</t>
  </si>
  <si>
    <t>NOV2025</t>
  </si>
  <si>
    <t>YYYY</t>
  </si>
  <si>
    <t>HINDUNILVR
ITCHOTELS
SETFNN50
ITC
ITCHOTELS
KOTAKBANK</t>
  </si>
  <si>
    <t xml:space="preserve">	ANANTRAJ</t>
  </si>
  <si>
    <t>412.21*100</t>
  </si>
  <si>
    <t>GOLDBEES
HDFCSILVER
KEC
ANANTRAJ</t>
  </si>
  <si>
    <t>ASIANPAINT
BANDHANBNK
BIOCON
CDSL
CONSUMBEES
FMCGIETF
GOLDBEES
GOLDIETF
HAVELLS
HDFCLIFE
HDFCSILVER
HINDUNILVR
IDFCFIRSTB
INFY
ITC
KEC
KOTAKBANK
MOTHERSON
NMDC
OLAELEC-BE
PNB
PNBHOUSING
SBICARD
SBIETFIT
SBISILVER
SETFGOLD
SETFNIF50
SETFNN50
SONATSOFTW
TATAPOWER
TATASTEEL
TCS
UJJIVANSFB
UNITDSPR
VBL
VOLTAS
ANANTRAJ</t>
  </si>
  <si>
    <t>ASIANPAINT
BANDHANBNK
EQUITASBNK
HDFCLIFE
HINDUNILVR
IDFCFIRSTB
ITCHOTELS
ITC
KOTAKBANK
PNB
PNBHOUSING
PVRINOX
SBICARD
SBIN
SGBFEB32IV-GB
SETFGOLD
SETFNIF50
SETFNN50
SONATSOFTW
TATASTEEL
UJJIVANSFB
BIOCON</t>
  </si>
  <si>
    <t xml:space="preserve">	CGPOWER</t>
  </si>
  <si>
    <t>Fund Name</t>
  </si>
  <si>
    <t>HIGH</t>
  </si>
  <si>
    <t>Current Price</t>
  </si>
  <si>
    <t>Expense ratio</t>
  </si>
  <si>
    <t>Diff</t>
  </si>
  <si>
    <t>% Diff</t>
  </si>
  <si>
    <t>I-Nav</t>
  </si>
  <si>
    <t>ICICI Prudential Large Cap Fund</t>
  </si>
  <si>
    <t>ICICI Prudential Multi Asset Fund</t>
  </si>
  <si>
    <t>ICICI Prudential NASDAQ 100 Index Fund</t>
  </si>
  <si>
    <t>CICI Prudential Commodities Fund</t>
  </si>
  <si>
    <t>HDFC Nifty Smallcap 250 Index Fund</t>
  </si>
  <si>
    <t>HDFC Mid Cap Fund</t>
  </si>
  <si>
    <t>HDFC Pharma and Healthcare Fund</t>
  </si>
  <si>
    <t>SBI Nifty 500 Index Fund</t>
  </si>
  <si>
    <t>SBI Nifty Index Fund</t>
  </si>
  <si>
    <t>Tata Nifty India Tourism Index Fund</t>
  </si>
  <si>
    <t>Motilal Oswal Nifty Microcap 250 Index Fund</t>
  </si>
  <si>
    <t>Axis Nifty Smallcap 50 Index Fund</t>
  </si>
  <si>
    <t>SBI Consumption Opportunities Fund</t>
  </si>
  <si>
    <t>SBI Banking &amp; Financial Services Fund</t>
  </si>
  <si>
    <t>ICICI Prudential Pharma Healthcare &amp; Diagnostics (P.H.D) Fund</t>
  </si>
  <si>
    <t>Nippon India Power &amp; Infra Fund</t>
  </si>
  <si>
    <t>HDFC Silver ETF</t>
  </si>
  <si>
    <t>SIVERBEES</t>
  </si>
  <si>
    <t>Axis Silver ETF</t>
  </si>
  <si>
    <t>SBI Gold ETF</t>
  </si>
  <si>
    <t>LIC Gold ETF</t>
  </si>
  <si>
    <t>Nippon India ETF Gold BeES</t>
  </si>
  <si>
    <t>Groww Gold ETF</t>
  </si>
  <si>
    <t>HDFC Gold Exchange Traded Fund</t>
  </si>
  <si>
    <t>Zerodha Gold ETF</t>
  </si>
  <si>
    <t>ICICI Prudential Nifty Next 50 ETF</t>
  </si>
  <si>
    <t>SBI ETF Nifty Next 50</t>
  </si>
  <si>
    <t>HDFC NIFTY Smallcap 250 ETF</t>
  </si>
  <si>
    <t>SGBFEB32IV</t>
  </si>
  <si>
    <t>DEC2025</t>
  </si>
  <si>
    <t>HDFCLIFE
CGPOWER
ANANTRAJ
OLAELEC</t>
  </si>
  <si>
    <t>Instrument</t>
  </si>
  <si>
    <t>Qty.</t>
  </si>
  <si>
    <t>Avg. cost</t>
  </si>
  <si>
    <t>Invested</t>
  </si>
  <si>
    <t>OLAELEC</t>
  </si>
  <si>
    <t>PIRAMALFIN</t>
  </si>
  <si>
    <t>ANANTRAJ</t>
  </si>
  <si>
    <t>CGPOWER</t>
  </si>
  <si>
    <t>Group Wise Total</t>
  </si>
  <si>
    <t>SAIL</t>
  </si>
  <si>
    <t>GOLDBEE</t>
  </si>
  <si>
    <t>SILVERBEE</t>
  </si>
  <si>
    <t>54..12</t>
  </si>
  <si>
    <t>ETF</t>
  </si>
  <si>
    <t>1W Return %</t>
  </si>
  <si>
    <t>1M Return %</t>
  </si>
  <si>
    <t>3M Return %</t>
  </si>
  <si>
    <t>6M Return %</t>
  </si>
  <si>
    <t>1Y Return %</t>
  </si>
  <si>
    <t>3Y Return %</t>
  </si>
  <si>
    <t>NBCC</t>
  </si>
  <si>
    <t xml:space="preserve">	HYUNDAI</t>
  </si>
  <si>
    <t xml:space="preserve">	MAXHEALTH</t>
  </si>
  <si>
    <t>Symbol</t>
  </si>
  <si>
    <t>ISIN</t>
  </si>
  <si>
    <t>Buy Value</t>
  </si>
  <si>
    <t>Sell Value</t>
  </si>
  <si>
    <t>Realized P&amp;L</t>
  </si>
  <si>
    <t>Realized P&amp;L Pct.</t>
  </si>
  <si>
    <t>AUTOIETF</t>
  </si>
  <si>
    <t>INF109KC10V2</t>
  </si>
  <si>
    <t>INE376G01013</t>
  </si>
  <si>
    <t>COMMOIETF</t>
  </si>
  <si>
    <t>INF109KC19O8</t>
  </si>
  <si>
    <t>CUB</t>
  </si>
  <si>
    <t>INE491A01021</t>
  </si>
  <si>
    <t>HDFCBANK</t>
  </si>
  <si>
    <t>INE040A01034</t>
  </si>
  <si>
    <t>HDFCSILVER-E</t>
  </si>
  <si>
    <t>INF179KC1DI2</t>
  </si>
  <si>
    <t>HINDALCO</t>
  </si>
  <si>
    <t>INE038A01020</t>
  </si>
  <si>
    <t>INE030A01027</t>
  </si>
  <si>
    <t>INE009A01021</t>
  </si>
  <si>
    <t>MARICO</t>
  </si>
  <si>
    <t>INE196A01026</t>
  </si>
  <si>
    <t>MON100-E</t>
  </si>
  <si>
    <t>INF247L01AP3</t>
  </si>
  <si>
    <t>OFSS</t>
  </si>
  <si>
    <t>INE881D01027</t>
  </si>
  <si>
    <t>RELIANCE</t>
  </si>
  <si>
    <t>INE002A01018</t>
  </si>
  <si>
    <t>INE114A01011</t>
  </si>
  <si>
    <t>INE018E01016</t>
  </si>
  <si>
    <t>INF200KA1S14</t>
  </si>
  <si>
    <t>SBISENSEX</t>
  </si>
  <si>
    <t>INF200K01VT2</t>
  </si>
  <si>
    <t>SETFBSE100</t>
  </si>
  <si>
    <t>INF200KA1572</t>
  </si>
  <si>
    <t>SETFGOLD-E</t>
  </si>
  <si>
    <t>INF200KA16D8</t>
  </si>
  <si>
    <t>INF200KA1FS1</t>
  </si>
  <si>
    <t>SETFNIFBK</t>
  </si>
  <si>
    <t>INF200KA1580</t>
  </si>
  <si>
    <t>COHANCE</t>
  </si>
  <si>
    <t>INE03QK01018</t>
  </si>
  <si>
    <t>TATACONSUM</t>
  </si>
  <si>
    <t>INE192A01025</t>
  </si>
  <si>
    <t>INE081A01020</t>
  </si>
  <si>
    <t>TECHM</t>
  </si>
  <si>
    <t>INE669C01036</t>
  </si>
  <si>
    <t>UPL</t>
  </si>
  <si>
    <t>INE628A01036</t>
  </si>
  <si>
    <t>UPL-RE</t>
  </si>
  <si>
    <t/>
  </si>
  <si>
    <t>VEDL</t>
  </si>
  <si>
    <t>INE205A01025</t>
  </si>
  <si>
    <t>WIPRO</t>
  </si>
  <si>
    <t>INE075A01022</t>
  </si>
  <si>
    <t>FY</t>
  </si>
  <si>
    <t>Ex-Date</t>
  </si>
  <si>
    <t>Dividend Per Share</t>
  </si>
  <si>
    <t>Net Dividend Amount</t>
  </si>
  <si>
    <t>2022-10-27</t>
  </si>
  <si>
    <t>2022-11-09</t>
  </si>
  <si>
    <t>2022-11-29</t>
  </si>
  <si>
    <t>2023-01-24</t>
  </si>
  <si>
    <t>Total Dividend Amount</t>
  </si>
  <si>
    <t>2022-2023</t>
  </si>
  <si>
    <t>2023-05-09</t>
  </si>
  <si>
    <t>2023-06-02</t>
  </si>
  <si>
    <t>PEL</t>
  </si>
  <si>
    <t>INE140A01024</t>
  </si>
  <si>
    <t>2023-06-16</t>
  </si>
  <si>
    <t>2023-06-22</t>
  </si>
  <si>
    <t>2023-07-21</t>
  </si>
  <si>
    <t>2023-08-03</t>
  </si>
  <si>
    <t>2023-08-14</t>
  </si>
  <si>
    <t>2023-10-25</t>
  </si>
  <si>
    <t>2023-11-02</t>
  </si>
  <si>
    <t>2024-01-24</t>
  </si>
  <si>
    <t>INE154A01025</t>
  </si>
  <si>
    <t>2024-02-08</t>
  </si>
  <si>
    <t>2024-03-28</t>
  </si>
  <si>
    <t>2023-2024</t>
  </si>
  <si>
    <t>2024-05-10</t>
  </si>
  <si>
    <t>2024-05-31</t>
  </si>
  <si>
    <t>2024-06-04</t>
  </si>
  <si>
    <t>2024-06-14</t>
  </si>
  <si>
    <t>2024-07-05</t>
  </si>
  <si>
    <t>INE0DK501011</t>
  </si>
  <si>
    <t>2024-07-12</t>
  </si>
  <si>
    <t>INE551W01018</t>
  </si>
  <si>
    <t>INE237A01028</t>
  </si>
  <si>
    <t>2024-07-19</t>
  </si>
  <si>
    <t>INE269A01021</t>
  </si>
  <si>
    <t>2024-07-26</t>
  </si>
  <si>
    <t>2024-08-09</t>
  </si>
  <si>
    <t>2024-08-12</t>
  </si>
  <si>
    <t>BANDHANBNK6</t>
  </si>
  <si>
    <t>INE545U01014</t>
  </si>
  <si>
    <t>2024-08-13</t>
  </si>
  <si>
    <t>INE068V01023</t>
  </si>
  <si>
    <t>2024-08-16</t>
  </si>
  <si>
    <t>2024-11-06</t>
  </si>
  <si>
    <t>INE021A01026</t>
  </si>
  <si>
    <t>2024-11-19</t>
  </si>
  <si>
    <t>2025-02-12</t>
  </si>
  <si>
    <t>2025-02-25</t>
  </si>
  <si>
    <t>2024-2025</t>
  </si>
  <si>
    <t>SBIN#</t>
  </si>
  <si>
    <t>INE062A01020</t>
  </si>
  <si>
    <t>2025-05-16</t>
  </si>
  <si>
    <t>2025-05-28</t>
  </si>
  <si>
    <t>2025-05-29</t>
  </si>
  <si>
    <t>2025-06-06</t>
  </si>
  <si>
    <t>2025-06-10</t>
  </si>
  <si>
    <t>2025-06-13</t>
  </si>
  <si>
    <t>INE160A01022</t>
  </si>
  <si>
    <t>2025-06-20</t>
  </si>
  <si>
    <t>INE226A01021</t>
  </si>
  <si>
    <t>INE245A01021</t>
  </si>
  <si>
    <t>INE795G01014</t>
  </si>
  <si>
    <t>HINDUNILVR#</t>
  </si>
  <si>
    <t>2025-06-23</t>
  </si>
  <si>
    <t>2025-07-04</t>
  </si>
  <si>
    <t>INE092T01019</t>
  </si>
  <si>
    <t>2025-07-11</t>
  </si>
  <si>
    <t>2025-07-16</t>
  </si>
  <si>
    <t>INE467B01029</t>
  </si>
  <si>
    <t>2025-07-18</t>
  </si>
  <si>
    <t>2025-07-23</t>
  </si>
  <si>
    <t>PNBHOUSING#</t>
  </si>
  <si>
    <t>INE572E01012</t>
  </si>
  <si>
    <t>2025-08-01</t>
  </si>
  <si>
    <t>INE736A01011</t>
  </si>
  <si>
    <t>2025-08-07</t>
  </si>
  <si>
    <t>2025-08-08</t>
  </si>
  <si>
    <t>2025-08-14</t>
  </si>
  <si>
    <t>2025-10-15</t>
  </si>
  <si>
    <t>INFY#</t>
  </si>
  <si>
    <t>2025-10-27</t>
  </si>
  <si>
    <t>2025-11-07</t>
  </si>
  <si>
    <t>2025-11-18</t>
  </si>
  <si>
    <t>2025-11-21</t>
  </si>
  <si>
    <t>2025-2026</t>
  </si>
  <si>
    <t>LTP</t>
  </si>
  <si>
    <t>Cur. val</t>
  </si>
  <si>
    <t>P&amp;L</t>
  </si>
  <si>
    <t>HYUNDAI</t>
  </si>
  <si>
    <t>MAXHEALTH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</si>
  <si>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</si>
  <si>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</si>
  <si>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</si>
  <si>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</si>
  <si>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</si>
  <si>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</si>
  <si>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</si>
  <si>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</si>
  <si>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</si>
  <si>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</si>
  <si>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XIRR</t>
  </si>
  <si>
    <t>SBI Nifty Index Direct Plan Growth</t>
  </si>
  <si>
    <t>SBI Mutual Fund</t>
  </si>
  <si>
    <t>Equity</t>
  </si>
  <si>
    <t>Large Cap</t>
  </si>
  <si>
    <t>30095893</t>
  </si>
  <si>
    <t>Groww</t>
  </si>
  <si>
    <t>31998.52</t>
  </si>
  <si>
    <t>41992.79</t>
  </si>
  <si>
    <t>11.77%</t>
  </si>
  <si>
    <t>Tata Digital India Fund Direct Growth</t>
  </si>
  <si>
    <t>Tata Mutual Fund</t>
  </si>
  <si>
    <t>Sectoral</t>
  </si>
  <si>
    <t>7822179</t>
  </si>
  <si>
    <t>11999.45</t>
  </si>
  <si>
    <t>18618.96</t>
  </si>
  <si>
    <t>15.55%</t>
  </si>
  <si>
    <t>ICICI Prudential Commodities Fund Direct Growth</t>
  </si>
  <si>
    <t>ICICI Prudential Mutual Fund</t>
  </si>
  <si>
    <t>Thematic</t>
  </si>
  <si>
    <t>28661547</t>
  </si>
  <si>
    <t>1999.89</t>
  </si>
  <si>
    <t>2955.88</t>
  </si>
  <si>
    <t>18.22%</t>
  </si>
  <si>
    <t>ICICI Prudential NASDAQ 100 Index Fund Direct Growth</t>
  </si>
  <si>
    <t>International</t>
  </si>
  <si>
    <t>2999.85</t>
  </si>
  <si>
    <t>5340.14</t>
  </si>
  <si>
    <t>30.1%</t>
  </si>
  <si>
    <t>Axis Nifty Smallcap 50 Index Fund Direct Growth</t>
  </si>
  <si>
    <t>Axis Mutual Fund</t>
  </si>
  <si>
    <t>Small Cap</t>
  </si>
  <si>
    <t>910156203724</t>
  </si>
  <si>
    <t>1999.9</t>
  </si>
  <si>
    <t>2465.98</t>
  </si>
  <si>
    <t>10.03%</t>
  </si>
  <si>
    <t>SBI Large Cap Direct Plan Growth</t>
  </si>
  <si>
    <t>13999.39</t>
  </si>
  <si>
    <t>18525.9</t>
  </si>
  <si>
    <t>13.23%</t>
  </si>
  <si>
    <t>Axis Small Cap Fund Direct Growth</t>
  </si>
  <si>
    <t>16999.24</t>
  </si>
  <si>
    <t>25368.47</t>
  </si>
  <si>
    <t>15.18%</t>
  </si>
  <si>
    <t>29200995</t>
  </si>
  <si>
    <t>3999.79</t>
  </si>
  <si>
    <t>6016.01</t>
  </si>
  <si>
    <t>20.33%</t>
  </si>
  <si>
    <t>Total Investments</t>
  </si>
  <si>
    <t>Current Portfolio Value</t>
  </si>
  <si>
    <t>Profit/Loss</t>
  </si>
  <si>
    <t>Profit/Loss %</t>
  </si>
  <si>
    <t>85996.02</t>
  </si>
  <si>
    <t>121284.14</t>
  </si>
  <si>
    <t>35288.12</t>
  </si>
  <si>
    <t>41.03%</t>
  </si>
  <si>
    <t>14.43%</t>
  </si>
  <si>
    <t>Stock Name</t>
  </si>
  <si>
    <t>Average buy price</t>
  </si>
  <si>
    <t>Buy value</t>
  </si>
  <si>
    <t>Closing price</t>
  </si>
  <si>
    <t>Closing value</t>
  </si>
  <si>
    <t>Unrealised P&amp;L</t>
  </si>
  <si>
    <t>HDFC BANK LTD.</t>
  </si>
  <si>
    <t>SBI CARDS &amp; PAY SER LTD</t>
  </si>
  <si>
    <t>Rev</t>
  </si>
  <si>
    <t>Net P</t>
  </si>
  <si>
    <t>OpM</t>
  </si>
  <si>
    <t>EPS</t>
  </si>
  <si>
    <t>Cash Flow</t>
  </si>
  <si>
    <t>FII</t>
  </si>
  <si>
    <t>DII</t>
  </si>
  <si>
    <t>P</t>
  </si>
  <si>
    <t>D</t>
  </si>
  <si>
    <t>C</t>
  </si>
  <si>
    <t>I</t>
  </si>
  <si>
    <t>2026-01-16</t>
  </si>
  <si>
    <t>HAVELLS#</t>
  </si>
  <si>
    <t>INE176B01034</t>
  </si>
  <si>
    <t>2026-01-23</t>
  </si>
  <si>
    <t>INE854D01024</t>
  </si>
  <si>
    <t>2026-01-27</t>
  </si>
  <si>
    <t xml:space="preserve">Remark </t>
  </si>
  <si>
    <t>Wait and watch</t>
  </si>
  <si>
    <t>Accumulate slowly</t>
  </si>
  <si>
    <t>hold</t>
  </si>
  <si>
    <t>TATSILV</t>
  </si>
  <si>
    <t>HOLD</t>
  </si>
  <si>
    <t>CHEMICAL</t>
  </si>
  <si>
    <t>Wait For Technical Siginal</t>
  </si>
  <si>
    <t>Hold</t>
  </si>
  <si>
    <t>INE067A01029</t>
  </si>
  <si>
    <t>2026-01-30</t>
  </si>
  <si>
    <t>ITC#</t>
  </si>
  <si>
    <t>2026-02-04</t>
  </si>
  <si>
    <t>2026-02-13</t>
  </si>
  <si>
    <t>INE584A01023</t>
  </si>
  <si>
    <t>SBI Liquid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</si>
</sst>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rgb="FF444444"/>
      <name val="Aptos"/>
      <family val="2"/>
    </font>
    <font>
      <sz val="11"/>
      <color theme="1"/>
      <name val="Aptos"/>
      <family val="2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indexed="9"/>
      <name val="Calibri"/>
    </font>
    <font>
      <b/>
      <sz val="11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8768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0" borderId="0"/>
  </cellStyleXfs>
  <cellXfs count="57">
    <xf numFmtId="0" fontId="0" fillId="0" borderId="0" xfId="0"/>
    <xf numFmtId="0" fontId="18" fillId="0" borderId="0" xfId="0" applyFont="1"/>
    <xf numFmtId="0" fontId="19" fillId="0" borderId="0" xfId="0" applyFont="1"/>
    <xf numFmtId="14" fontId="20" fillId="0" borderId="0" xfId="0" applyNumberFormat="1" applyFont="1"/>
    <xf numFmtId="14" fontId="19" fillId="0" borderId="0" xfId="0" applyNumberFormat="1" applyFont="1"/>
    <xf numFmtId="14" fontId="19" fillId="0" borderId="0" xfId="0" applyNumberFormat="1" applyFont="1" applyAlignment="1">
      <alignment horizontal="left" vertical="top" wrapText="1" indent="1"/>
    </xf>
    <xf numFmtId="14" fontId="20" fillId="0" borderId="0" xfId="0" applyNumberFormat="1" applyFont="1" applyAlignment="1">
      <alignment horizontal="left" vertical="top" wrapText="1" indent="1"/>
    </xf>
    <xf numFmtId="0" fontId="20" fillId="0" borderId="0" xfId="0" applyFont="1"/>
    <xf numFmtId="2" fontId="18" fillId="0" borderId="0" xfId="0" applyNumberFormat="1" applyFont="1"/>
    <xf numFmtId="2" fontId="19" fillId="0" borderId="0" xfId="0" applyNumberFormat="1" applyFont="1"/>
    <xf numFmtId="0" fontId="19" fillId="0" borderId="0" xfId="0" applyFont="1" applyAlignment="1">
      <alignment vertical="top" wrapText="1"/>
    </xf>
    <xf numFmtId="2" fontId="18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 vertical="top" wrapText="1"/>
    </xf>
    <xf numFmtId="0" fontId="18" fillId="0" borderId="10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1" fillId="0" borderId="0" xfId="0" applyFont="1" applyAlignment="1">
      <alignment wrapText="1"/>
    </xf>
    <xf numFmtId="0" fontId="19" fillId="0" borderId="0" xfId="0" applyFont="1" applyAlignment="1">
      <alignment wrapText="1"/>
    </xf>
    <xf numFmtId="2" fontId="0" fillId="0" borderId="0" xfId="0" applyNumberFormat="1"/>
    <xf numFmtId="0" fontId="22" fillId="33" borderId="0" xfId="0" applyFont="1" applyFill="1"/>
    <xf numFmtId="0" fontId="23" fillId="0" borderId="0" xfId="0" applyFont="1"/>
    <xf numFmtId="10" fontId="22" fillId="0" borderId="0" xfId="0" applyNumberFormat="1" applyFont="1"/>
    <xf numFmtId="0" fontId="22" fillId="0" borderId="0" xfId="0" applyFont="1"/>
    <xf numFmtId="0" fontId="0" fillId="33" borderId="0" xfId="0" applyFill="1"/>
    <xf numFmtId="10" fontId="0" fillId="33" borderId="0" xfId="0" applyNumberFormat="1" applyFill="1"/>
    <xf numFmtId="0" fontId="23" fillId="33" borderId="0" xfId="0" applyFont="1" applyFill="1"/>
    <xf numFmtId="0" fontId="22" fillId="34" borderId="0" xfId="0" applyFont="1" applyFill="1"/>
    <xf numFmtId="10" fontId="0" fillId="0" borderId="0" xfId="0" applyNumberFormat="1"/>
    <xf numFmtId="0" fontId="24" fillId="33" borderId="0" xfId="0" applyFont="1" applyFill="1"/>
    <xf numFmtId="0" fontId="14" fillId="33" borderId="0" xfId="0" applyFont="1" applyFill="1"/>
    <xf numFmtId="0" fontId="14" fillId="0" borderId="0" xfId="0" applyFont="1"/>
    <xf numFmtId="4" fontId="0" fillId="33" borderId="0" xfId="0" applyNumberFormat="1" applyFill="1"/>
    <xf numFmtId="17" fontId="19" fillId="0" borderId="0" xfId="0" applyNumberFormat="1" applyFont="1"/>
    <xf numFmtId="17" fontId="19" fillId="0" borderId="0" xfId="0" quotePrefix="1" applyNumberFormat="1" applyFont="1"/>
    <xf numFmtId="0" fontId="25" fillId="0" borderId="0" xfId="42"/>
    <xf numFmtId="0" fontId="25" fillId="0" borderId="0" xfId="42" applyAlignment="1">
      <alignment horizontal="left"/>
    </xf>
    <xf numFmtId="0" fontId="26" fillId="0" borderId="0" xfId="42" applyFont="1" applyAlignment="1">
      <alignment horizontal="left"/>
    </xf>
    <xf numFmtId="0" fontId="16" fillId="0" borderId="0" xfId="0" applyFont="1"/>
    <xf numFmtId="0" fontId="2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28" fillId="0" borderId="0" xfId="42" applyFont="1"/>
    <xf numFmtId="0" fontId="28" fillId="0" borderId="0" xfId="42" applyFont="1" applyAlignment="1">
      <alignment horizontal="left"/>
    </xf>
    <xf numFmtId="0" fontId="29" fillId="0" borderId="0" xfId="42" applyFont="1"/>
    <xf numFmtId="0" fontId="29" fillId="0" borderId="0" xfId="42" applyFont="1" applyAlignment="1">
      <alignment horizontal="left"/>
    </xf>
    <xf numFmtId="0" fontId="24" fillId="0" borderId="0" xfId="0" applyFont="1"/>
    <xf numFmtId="0" fontId="30" fillId="0" borderId="0" xfId="42" applyFont="1"/>
    <xf numFmtId="0" fontId="30" fillId="0" borderId="0" xfId="42" applyFont="1" applyAlignment="1">
      <alignment horizontal="left"/>
    </xf>
    <xf numFmtId="0" fontId="31" fillId="0" borderId="0" xfId="0" applyFont="1"/>
    <xf numFmtId="0" fontId="32" fillId="0" borderId="0" xfId="0" applyFont="1"/>
    <xf numFmtId="0" fontId="33" fillId="35" borderId="11" xfId="0" applyFont="1" applyFill="1" applyBorder="1" applyAlignment="1">
      <alignment horizontal="left"/>
    </xf>
    <xf numFmtId="0" fontId="34" fillId="0" borderId="0" xfId="0" applyFont="1"/>
    <xf numFmtId="0" fontId="25" fillId="33" borderId="0" xfId="42" applyFill="1"/>
    <xf numFmtId="0" fontId="25" fillId="33" borderId="0" xfId="42" applyFill="1" applyAlignment="1">
      <alignment horizontal="left"/>
    </xf>
    <xf numFmtId="0" fontId="16" fillId="33" borderId="0" xfId="0" applyFont="1" applyFill="1"/>
    <xf numFmtId="0" fontId="29" fillId="33" borderId="0" xfId="42" applyFont="1" applyFill="1"/>
    <xf numFmtId="0" fontId="29" fillId="33" borderId="0" xfId="42" applyFont="1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CCBC88C-7B41-438E-8B99-F83A84E701B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EE69-FFA9-4CB2-92C6-25BBB6E0EE9A}">
  <dimension ref="A1:E150"/>
  <sheetViews>
    <sheetView topLeftCell="A10" workbookViewId="0">
      <selection activeCell="E151" sqref="E151"/>
    </sheetView>
  </sheetViews>
  <sheetFormatPr defaultRowHeight="15.75" x14ac:dyDescent="0.25"/>
  <cols>
    <col min="1" max="1" width="14.42578125" style="2" bestFit="1" customWidth="1"/>
    <col min="2" max="2" width="17.85546875" style="2" bestFit="1" customWidth="1"/>
    <col min="3" max="3" width="11" style="2" bestFit="1" customWidth="1"/>
    <col min="4" max="4" width="11" style="12" bestFit="1" customWidth="1"/>
    <col min="5" max="5" width="13.7109375" style="9" bestFit="1" customWidth="1"/>
    <col min="6" max="16384" width="9.140625" style="2"/>
  </cols>
  <sheetData>
    <row r="1" spans="1:5" x14ac:dyDescent="0.25">
      <c r="A1" s="1" t="s">
        <v>36</v>
      </c>
      <c r="B1" s="1" t="s">
        <v>37</v>
      </c>
      <c r="C1" s="1" t="s">
        <v>38</v>
      </c>
      <c r="D1" s="11" t="s">
        <v>39</v>
      </c>
      <c r="E1" s="8" t="s">
        <v>40</v>
      </c>
    </row>
    <row r="2" spans="1:5" x14ac:dyDescent="0.25">
      <c r="A2" s="3">
        <v>45505</v>
      </c>
      <c r="B2" s="2" t="s">
        <v>0</v>
      </c>
      <c r="C2" s="2">
        <v>10</v>
      </c>
      <c r="D2" s="12">
        <v>3101.2</v>
      </c>
      <c r="E2" s="9">
        <f t="shared" ref="E2:E33" si="0">C2*D2</f>
        <v>31012</v>
      </c>
    </row>
    <row r="3" spans="1:5" x14ac:dyDescent="0.25">
      <c r="A3" s="4">
        <v>45689</v>
      </c>
      <c r="B3" s="2" t="s">
        <v>0</v>
      </c>
      <c r="C3" s="2">
        <v>10</v>
      </c>
      <c r="D3" s="12">
        <v>2353.4</v>
      </c>
      <c r="E3" s="9">
        <f t="shared" si="0"/>
        <v>23534</v>
      </c>
    </row>
    <row r="4" spans="1:5" x14ac:dyDescent="0.25">
      <c r="A4" s="4">
        <v>45502</v>
      </c>
      <c r="B4" s="2" t="s">
        <v>1</v>
      </c>
      <c r="C4" s="2">
        <v>75</v>
      </c>
      <c r="D4" s="12">
        <v>213.38</v>
      </c>
      <c r="E4" s="9">
        <f t="shared" si="0"/>
        <v>16003.5</v>
      </c>
    </row>
    <row r="5" spans="1:5" x14ac:dyDescent="0.25">
      <c r="A5" s="4">
        <v>45554</v>
      </c>
      <c r="B5" s="2" t="s">
        <v>1</v>
      </c>
      <c r="C5" s="2">
        <v>10</v>
      </c>
      <c r="D5" s="12">
        <v>212.38</v>
      </c>
      <c r="E5" s="9">
        <f t="shared" si="0"/>
        <v>2123.8000000000002</v>
      </c>
    </row>
    <row r="6" spans="1:5" x14ac:dyDescent="0.25">
      <c r="A6" s="3">
        <v>45901</v>
      </c>
      <c r="B6" s="2" t="s">
        <v>1</v>
      </c>
      <c r="C6" s="2">
        <v>15</v>
      </c>
      <c r="D6" s="12">
        <v>160.19999999999999</v>
      </c>
      <c r="E6" s="9">
        <f t="shared" si="0"/>
        <v>2403</v>
      </c>
    </row>
    <row r="7" spans="1:5" x14ac:dyDescent="0.25">
      <c r="A7" s="5">
        <v>45574</v>
      </c>
      <c r="B7" s="2" t="s">
        <v>2</v>
      </c>
      <c r="C7" s="10">
        <v>100</v>
      </c>
      <c r="D7" s="13">
        <v>348.85</v>
      </c>
      <c r="E7" s="9">
        <f t="shared" si="0"/>
        <v>34885</v>
      </c>
    </row>
    <row r="8" spans="1:5" x14ac:dyDescent="0.25">
      <c r="A8" s="5">
        <v>45713</v>
      </c>
      <c r="B8" s="2" t="s">
        <v>2</v>
      </c>
      <c r="C8" s="10">
        <v>24</v>
      </c>
      <c r="D8" s="13">
        <v>324.2</v>
      </c>
      <c r="E8" s="9">
        <f t="shared" si="0"/>
        <v>7780.7999999999993</v>
      </c>
    </row>
    <row r="9" spans="1:5" x14ac:dyDescent="0.25">
      <c r="A9" s="5">
        <v>45713</v>
      </c>
      <c r="B9" s="2" t="s">
        <v>2</v>
      </c>
      <c r="C9" s="10">
        <v>36</v>
      </c>
      <c r="D9" s="13">
        <v>324.25</v>
      </c>
      <c r="E9" s="9">
        <f t="shared" si="0"/>
        <v>11673</v>
      </c>
    </row>
    <row r="10" spans="1:5" x14ac:dyDescent="0.25">
      <c r="A10" s="5">
        <v>45929</v>
      </c>
      <c r="B10" s="2" t="s">
        <v>2</v>
      </c>
      <c r="C10" s="10">
        <v>40</v>
      </c>
      <c r="D10" s="13">
        <v>339.45</v>
      </c>
      <c r="E10" s="9">
        <f t="shared" si="0"/>
        <v>13578</v>
      </c>
    </row>
    <row r="11" spans="1:5" x14ac:dyDescent="0.25">
      <c r="A11" s="5">
        <v>45688</v>
      </c>
      <c r="B11" s="2" t="s">
        <v>3</v>
      </c>
      <c r="C11" s="10">
        <v>20</v>
      </c>
      <c r="D11" s="13">
        <v>1302</v>
      </c>
      <c r="E11" s="9">
        <f t="shared" si="0"/>
        <v>26040</v>
      </c>
    </row>
    <row r="12" spans="1:5" x14ac:dyDescent="0.25">
      <c r="A12" s="4">
        <v>45901</v>
      </c>
      <c r="B12" s="2" t="s">
        <v>3</v>
      </c>
      <c r="C12" s="10">
        <v>10</v>
      </c>
      <c r="D12" s="13">
        <v>1467.6</v>
      </c>
      <c r="E12" s="9">
        <f t="shared" si="0"/>
        <v>14676</v>
      </c>
    </row>
    <row r="13" spans="1:5" x14ac:dyDescent="0.25">
      <c r="A13" s="4">
        <v>45560</v>
      </c>
      <c r="B13" s="2" t="s">
        <v>4</v>
      </c>
      <c r="C13" s="10">
        <v>150</v>
      </c>
      <c r="D13" s="13">
        <v>81.27</v>
      </c>
      <c r="E13" s="9">
        <f t="shared" si="0"/>
        <v>12190.5</v>
      </c>
    </row>
    <row r="14" spans="1:5" x14ac:dyDescent="0.25">
      <c r="A14" s="4">
        <v>45839</v>
      </c>
      <c r="B14" s="2" t="s">
        <v>5</v>
      </c>
      <c r="C14" s="10">
        <v>500</v>
      </c>
      <c r="D14" s="13">
        <v>58.6</v>
      </c>
      <c r="E14" s="9">
        <f t="shared" si="0"/>
        <v>29300</v>
      </c>
    </row>
    <row r="15" spans="1:5" x14ac:dyDescent="0.25">
      <c r="A15" s="4">
        <v>45915</v>
      </c>
      <c r="B15" s="2" t="s">
        <v>5</v>
      </c>
      <c r="C15" s="10">
        <v>45</v>
      </c>
      <c r="D15" s="13">
        <v>60.47</v>
      </c>
      <c r="E15" s="9">
        <f t="shared" si="0"/>
        <v>2721.15</v>
      </c>
    </row>
    <row r="16" spans="1:5" x14ac:dyDescent="0.25">
      <c r="A16" s="4">
        <v>45916</v>
      </c>
      <c r="B16" s="2" t="s">
        <v>5</v>
      </c>
      <c r="C16" s="10">
        <v>155</v>
      </c>
      <c r="D16" s="13">
        <v>60.25</v>
      </c>
      <c r="E16" s="9">
        <f t="shared" si="0"/>
        <v>9338.75</v>
      </c>
    </row>
    <row r="17" spans="1:5" x14ac:dyDescent="0.25">
      <c r="A17" s="4">
        <v>45930</v>
      </c>
      <c r="B17" s="2" t="s">
        <v>5</v>
      </c>
      <c r="C17" s="10">
        <v>300</v>
      </c>
      <c r="D17" s="13">
        <v>58.56</v>
      </c>
      <c r="E17" s="9">
        <f t="shared" si="0"/>
        <v>17568</v>
      </c>
    </row>
    <row r="18" spans="1:5" x14ac:dyDescent="0.25">
      <c r="A18" s="4">
        <v>45953</v>
      </c>
      <c r="B18" s="2" t="s">
        <v>5</v>
      </c>
      <c r="C18" s="10">
        <v>500</v>
      </c>
      <c r="D18" s="13">
        <v>60.99</v>
      </c>
      <c r="E18" s="9">
        <f t="shared" si="0"/>
        <v>30495</v>
      </c>
    </row>
    <row r="19" spans="1:5" x14ac:dyDescent="0.25">
      <c r="A19" s="4">
        <v>46053</v>
      </c>
      <c r="B19" s="2" t="s">
        <v>5</v>
      </c>
      <c r="C19" s="2">
        <v>60</v>
      </c>
      <c r="D19" s="2">
        <v>54.52</v>
      </c>
      <c r="E19" s="2">
        <f t="shared" si="0"/>
        <v>3271.2000000000003</v>
      </c>
    </row>
    <row r="20" spans="1:5" x14ac:dyDescent="0.25">
      <c r="A20" s="4">
        <v>44789</v>
      </c>
      <c r="B20" s="2" t="s">
        <v>6</v>
      </c>
      <c r="C20" s="2">
        <v>4</v>
      </c>
      <c r="D20" s="12">
        <v>2340.15</v>
      </c>
      <c r="E20" s="9">
        <f t="shared" si="0"/>
        <v>9360.6</v>
      </c>
    </row>
    <row r="21" spans="1:5" x14ac:dyDescent="0.25">
      <c r="A21" s="4">
        <v>45817</v>
      </c>
      <c r="B21" s="2" t="s">
        <v>7</v>
      </c>
      <c r="C21" s="10">
        <v>20</v>
      </c>
      <c r="D21" s="13">
        <v>1543.3</v>
      </c>
      <c r="E21" s="9">
        <f t="shared" si="0"/>
        <v>30866</v>
      </c>
    </row>
    <row r="22" spans="1:5" x14ac:dyDescent="0.25">
      <c r="A22" s="4">
        <v>46015</v>
      </c>
      <c r="B22" s="2" t="s">
        <v>7</v>
      </c>
      <c r="C22" s="10">
        <v>10</v>
      </c>
      <c r="D22" s="13">
        <v>1431.6</v>
      </c>
      <c r="E22" s="9">
        <f t="shared" si="0"/>
        <v>14316</v>
      </c>
    </row>
    <row r="23" spans="1:5" x14ac:dyDescent="0.25">
      <c r="A23" s="4">
        <v>46021</v>
      </c>
      <c r="B23" s="2" t="s">
        <v>7</v>
      </c>
      <c r="C23" s="10">
        <v>10</v>
      </c>
      <c r="D23" s="13">
        <v>1280.5999999999999</v>
      </c>
      <c r="E23" s="9">
        <f t="shared" si="0"/>
        <v>12806</v>
      </c>
    </row>
    <row r="24" spans="1:5" x14ac:dyDescent="0.25">
      <c r="A24" s="4">
        <v>45477</v>
      </c>
      <c r="B24" s="2" t="s">
        <v>8</v>
      </c>
      <c r="C24" s="10">
        <v>30</v>
      </c>
      <c r="D24" s="13">
        <v>601.75</v>
      </c>
      <c r="E24" s="9">
        <f t="shared" si="0"/>
        <v>18052.5</v>
      </c>
    </row>
    <row r="25" spans="1:5" x14ac:dyDescent="0.25">
      <c r="A25" s="4">
        <v>45659</v>
      </c>
      <c r="B25" s="2" t="s">
        <v>8</v>
      </c>
      <c r="C25" s="10">
        <v>30</v>
      </c>
      <c r="D25" s="13">
        <v>616.9</v>
      </c>
      <c r="E25" s="9">
        <f t="shared" si="0"/>
        <v>18507</v>
      </c>
    </row>
    <row r="26" spans="1:5" x14ac:dyDescent="0.25">
      <c r="A26" s="4">
        <v>45873</v>
      </c>
      <c r="B26" s="2" t="s">
        <v>8</v>
      </c>
      <c r="C26" s="10">
        <v>20</v>
      </c>
      <c r="D26" s="13">
        <v>746</v>
      </c>
      <c r="E26" s="9">
        <f t="shared" si="0"/>
        <v>14920</v>
      </c>
    </row>
    <row r="27" spans="1:5" x14ac:dyDescent="0.25">
      <c r="A27" s="4">
        <v>45961</v>
      </c>
      <c r="B27" s="2" t="s">
        <v>8</v>
      </c>
      <c r="C27" s="10">
        <v>10</v>
      </c>
      <c r="D27" s="13">
        <v>747</v>
      </c>
      <c r="E27" s="9">
        <f t="shared" si="0"/>
        <v>7470</v>
      </c>
    </row>
    <row r="28" spans="1:5" x14ac:dyDescent="0.25">
      <c r="A28" s="4">
        <v>45993</v>
      </c>
      <c r="B28" s="2" t="s">
        <v>8</v>
      </c>
      <c r="C28" s="10">
        <v>10</v>
      </c>
      <c r="D28" s="13">
        <v>759</v>
      </c>
      <c r="E28" s="9">
        <f t="shared" si="0"/>
        <v>7590</v>
      </c>
    </row>
    <row r="29" spans="1:5" x14ac:dyDescent="0.25">
      <c r="A29" s="4">
        <v>45908</v>
      </c>
      <c r="B29" s="2" t="s">
        <v>9</v>
      </c>
      <c r="C29" s="10">
        <v>100</v>
      </c>
      <c r="D29" s="13">
        <v>120.75</v>
      </c>
      <c r="E29" s="9">
        <f t="shared" si="0"/>
        <v>12075</v>
      </c>
    </row>
    <row r="30" spans="1:5" x14ac:dyDescent="0.25">
      <c r="A30" s="4">
        <v>45930</v>
      </c>
      <c r="B30" s="2" t="s">
        <v>9</v>
      </c>
      <c r="C30" s="10">
        <v>100</v>
      </c>
      <c r="D30" s="13">
        <v>141.01</v>
      </c>
      <c r="E30" s="9">
        <f t="shared" si="0"/>
        <v>14101</v>
      </c>
    </row>
    <row r="31" spans="1:5" x14ac:dyDescent="0.25">
      <c r="A31" s="4">
        <v>45940</v>
      </c>
      <c r="B31" s="2" t="s">
        <v>9</v>
      </c>
      <c r="C31" s="10">
        <v>100</v>
      </c>
      <c r="D31" s="12">
        <v>156.25</v>
      </c>
      <c r="E31" s="9">
        <f t="shared" si="0"/>
        <v>15625</v>
      </c>
    </row>
    <row r="32" spans="1:5" x14ac:dyDescent="0.25">
      <c r="A32" s="4">
        <v>45960</v>
      </c>
      <c r="B32" s="2" t="s">
        <v>9</v>
      </c>
      <c r="C32" s="10">
        <v>100</v>
      </c>
      <c r="D32" s="12">
        <v>141.85</v>
      </c>
      <c r="E32" s="9">
        <f t="shared" si="0"/>
        <v>14185</v>
      </c>
    </row>
    <row r="33" spans="1:5" x14ac:dyDescent="0.25">
      <c r="A33" s="4">
        <v>45975</v>
      </c>
      <c r="B33" s="2" t="s">
        <v>9</v>
      </c>
      <c r="C33" s="10">
        <v>100</v>
      </c>
      <c r="D33" s="12">
        <v>153.53</v>
      </c>
      <c r="E33" s="9">
        <f t="shared" si="0"/>
        <v>15353</v>
      </c>
    </row>
    <row r="34" spans="1:5" x14ac:dyDescent="0.25">
      <c r="A34" s="4">
        <v>46052</v>
      </c>
      <c r="B34" s="2" t="s">
        <v>9</v>
      </c>
      <c r="C34" s="10">
        <v>540</v>
      </c>
      <c r="D34" s="12">
        <v>325.64</v>
      </c>
      <c r="E34" s="9">
        <f t="shared" ref="E34:E66" si="1">C34*D34</f>
        <v>175845.6</v>
      </c>
    </row>
    <row r="35" spans="1:5" x14ac:dyDescent="0.25">
      <c r="A35" s="4">
        <v>46055</v>
      </c>
      <c r="B35" s="2" t="s">
        <v>9</v>
      </c>
      <c r="C35" s="10">
        <v>60</v>
      </c>
      <c r="D35" s="12">
        <v>215.21</v>
      </c>
      <c r="E35" s="9">
        <f t="shared" si="1"/>
        <v>12912.6</v>
      </c>
    </row>
    <row r="36" spans="1:5" x14ac:dyDescent="0.25">
      <c r="A36" s="4">
        <v>45196</v>
      </c>
      <c r="B36" s="2" t="s">
        <v>10</v>
      </c>
      <c r="C36" s="10">
        <v>10</v>
      </c>
      <c r="D36" s="13">
        <v>2492.9499999999998</v>
      </c>
      <c r="E36" s="9">
        <f t="shared" si="1"/>
        <v>24929.5</v>
      </c>
    </row>
    <row r="37" spans="1:5" x14ac:dyDescent="0.25">
      <c r="A37" s="4">
        <v>45385</v>
      </c>
      <c r="B37" s="2" t="s">
        <v>10</v>
      </c>
      <c r="C37" s="10">
        <v>7</v>
      </c>
      <c r="D37" s="13">
        <v>2275.9499999999998</v>
      </c>
      <c r="E37" s="9">
        <f t="shared" si="1"/>
        <v>15931.649999999998</v>
      </c>
    </row>
    <row r="38" spans="1:5" x14ac:dyDescent="0.25">
      <c r="A38" s="5">
        <v>45474</v>
      </c>
      <c r="B38" s="2" t="s">
        <v>10</v>
      </c>
      <c r="C38" s="10">
        <v>23</v>
      </c>
      <c r="D38" s="13">
        <v>2504</v>
      </c>
      <c r="E38" s="9">
        <f t="shared" si="1"/>
        <v>57592</v>
      </c>
    </row>
    <row r="39" spans="1:5" x14ac:dyDescent="0.25">
      <c r="A39" s="4">
        <v>45588</v>
      </c>
      <c r="B39" s="2" t="s">
        <v>10</v>
      </c>
      <c r="C39" s="10">
        <v>10</v>
      </c>
      <c r="D39" s="13">
        <v>2677.95</v>
      </c>
      <c r="E39" s="9">
        <f t="shared" si="1"/>
        <v>26779.5</v>
      </c>
    </row>
    <row r="40" spans="1:5" x14ac:dyDescent="0.25">
      <c r="A40" s="4">
        <v>45590</v>
      </c>
      <c r="B40" s="2" t="s">
        <v>10</v>
      </c>
      <c r="C40" s="10">
        <v>10</v>
      </c>
      <c r="D40" s="13">
        <v>2523.4</v>
      </c>
      <c r="E40" s="9">
        <f t="shared" si="1"/>
        <v>25234</v>
      </c>
    </row>
    <row r="41" spans="1:5" x14ac:dyDescent="0.25">
      <c r="A41" s="4">
        <v>45659</v>
      </c>
      <c r="B41" s="2" t="s">
        <v>10</v>
      </c>
      <c r="C41" s="10">
        <v>20</v>
      </c>
      <c r="D41" s="13">
        <v>2348.4</v>
      </c>
      <c r="E41" s="9">
        <f t="shared" si="1"/>
        <v>46968</v>
      </c>
    </row>
    <row r="42" spans="1:5" x14ac:dyDescent="0.25">
      <c r="A42" s="4">
        <v>45834</v>
      </c>
      <c r="B42" s="2" t="s">
        <v>10</v>
      </c>
      <c r="C42" s="10">
        <v>10</v>
      </c>
      <c r="D42" s="13">
        <v>2274.8000000000002</v>
      </c>
      <c r="E42" s="9">
        <f t="shared" si="1"/>
        <v>22748</v>
      </c>
    </row>
    <row r="43" spans="1:5" x14ac:dyDescent="0.25">
      <c r="A43" s="4">
        <v>45401</v>
      </c>
      <c r="B43" s="2" t="s">
        <v>11</v>
      </c>
      <c r="C43" s="10">
        <v>100</v>
      </c>
      <c r="D43" s="13">
        <v>81.849999999999994</v>
      </c>
      <c r="E43" s="9">
        <f t="shared" si="1"/>
        <v>8184.9999999999991</v>
      </c>
    </row>
    <row r="44" spans="1:5" x14ac:dyDescent="0.25">
      <c r="A44" s="4">
        <v>45541</v>
      </c>
      <c r="B44" s="2" t="s">
        <v>11</v>
      </c>
      <c r="C44" s="10">
        <v>58</v>
      </c>
      <c r="D44" s="13">
        <v>74.19</v>
      </c>
      <c r="E44" s="9">
        <f t="shared" si="1"/>
        <v>4303.0199999999995</v>
      </c>
    </row>
    <row r="45" spans="1:5" x14ac:dyDescent="0.25">
      <c r="A45" s="4">
        <v>45901</v>
      </c>
      <c r="B45" s="2" t="s">
        <v>11</v>
      </c>
      <c r="C45" s="10">
        <v>42</v>
      </c>
      <c r="D45" s="13">
        <v>68.849999999999994</v>
      </c>
      <c r="E45" s="9">
        <f t="shared" si="1"/>
        <v>2891.7</v>
      </c>
    </row>
    <row r="46" spans="1:5" x14ac:dyDescent="0.25">
      <c r="A46" s="4">
        <v>45818</v>
      </c>
      <c r="B46" s="2" t="s">
        <v>12</v>
      </c>
      <c r="C46" s="10">
        <v>18</v>
      </c>
      <c r="D46" s="13">
        <v>1585</v>
      </c>
      <c r="E46" s="9">
        <f t="shared" si="1"/>
        <v>28530</v>
      </c>
    </row>
    <row r="47" spans="1:5" x14ac:dyDescent="0.25">
      <c r="A47" s="4">
        <v>45229</v>
      </c>
      <c r="B47" s="2" t="s">
        <v>13</v>
      </c>
      <c r="C47" s="10">
        <v>48</v>
      </c>
      <c r="D47" s="13">
        <v>373.64</v>
      </c>
      <c r="E47" s="9">
        <f t="shared" si="1"/>
        <v>17934.72</v>
      </c>
    </row>
    <row r="48" spans="1:5" x14ac:dyDescent="0.25">
      <c r="A48" s="4">
        <v>45279</v>
      </c>
      <c r="B48" s="2" t="s">
        <v>13</v>
      </c>
      <c r="C48" s="10">
        <v>25</v>
      </c>
      <c r="D48" s="13">
        <v>395.09</v>
      </c>
      <c r="E48" s="9">
        <f t="shared" si="1"/>
        <v>9877.25</v>
      </c>
    </row>
    <row r="49" spans="1:5" x14ac:dyDescent="0.25">
      <c r="A49" s="4">
        <v>45288</v>
      </c>
      <c r="B49" s="2" t="s">
        <v>13</v>
      </c>
      <c r="C49" s="10">
        <v>6</v>
      </c>
      <c r="D49" s="13">
        <v>400.41</v>
      </c>
      <c r="E49" s="9">
        <f t="shared" si="1"/>
        <v>2402.46</v>
      </c>
    </row>
    <row r="50" spans="1:5" x14ac:dyDescent="0.25">
      <c r="A50" s="4">
        <v>45322</v>
      </c>
      <c r="B50" s="2" t="s">
        <v>13</v>
      </c>
      <c r="C50" s="10">
        <v>92</v>
      </c>
      <c r="D50" s="13">
        <v>381.51</v>
      </c>
      <c r="E50" s="9">
        <f t="shared" si="1"/>
        <v>35098.92</v>
      </c>
    </row>
    <row r="51" spans="1:5" x14ac:dyDescent="0.25">
      <c r="A51" s="4">
        <v>45329</v>
      </c>
      <c r="B51" s="2" t="s">
        <v>13</v>
      </c>
      <c r="C51" s="10">
        <v>23</v>
      </c>
      <c r="D51" s="13">
        <v>373.64</v>
      </c>
      <c r="E51" s="9">
        <f t="shared" si="1"/>
        <v>8593.7199999999993</v>
      </c>
    </row>
    <row r="52" spans="1:5" x14ac:dyDescent="0.25">
      <c r="A52" s="4">
        <v>45336</v>
      </c>
      <c r="B52" s="2" t="s">
        <v>13</v>
      </c>
      <c r="C52" s="10">
        <v>6</v>
      </c>
      <c r="D52" s="13">
        <v>353.23</v>
      </c>
      <c r="E52" s="9">
        <f t="shared" si="1"/>
        <v>2119.38</v>
      </c>
    </row>
    <row r="53" spans="1:5" x14ac:dyDescent="0.25">
      <c r="A53" s="4">
        <v>45834</v>
      </c>
      <c r="B53" s="2" t="s">
        <v>13</v>
      </c>
      <c r="C53" s="10">
        <v>60</v>
      </c>
      <c r="D53" s="13">
        <v>417.85</v>
      </c>
      <c r="E53" s="9">
        <f t="shared" si="1"/>
        <v>25071</v>
      </c>
    </row>
    <row r="54" spans="1:5" x14ac:dyDescent="0.25">
      <c r="A54" s="4">
        <v>45846</v>
      </c>
      <c r="B54" s="2" t="s">
        <v>13</v>
      </c>
      <c r="C54" s="10">
        <v>40</v>
      </c>
      <c r="D54" s="13">
        <v>417</v>
      </c>
      <c r="E54" s="9">
        <f t="shared" si="1"/>
        <v>16680</v>
      </c>
    </row>
    <row r="55" spans="1:5" x14ac:dyDescent="0.25">
      <c r="A55" s="4">
        <v>45229</v>
      </c>
      <c r="B55" s="2" t="s">
        <v>14</v>
      </c>
      <c r="C55" s="10">
        <v>4</v>
      </c>
      <c r="D55" s="13">
        <v>583.63</v>
      </c>
      <c r="E55" s="9">
        <f t="shared" si="1"/>
        <v>2334.52</v>
      </c>
    </row>
    <row r="56" spans="1:5" x14ac:dyDescent="0.25">
      <c r="A56" s="4">
        <v>45279</v>
      </c>
      <c r="B56" s="2" t="s">
        <v>14</v>
      </c>
      <c r="C56" s="10">
        <v>3</v>
      </c>
      <c r="D56" s="13">
        <v>610</v>
      </c>
      <c r="E56" s="9">
        <f t="shared" si="1"/>
        <v>1830</v>
      </c>
    </row>
    <row r="57" spans="1:5" x14ac:dyDescent="0.25">
      <c r="A57" s="4">
        <v>45322</v>
      </c>
      <c r="B57" s="2" t="s">
        <v>14</v>
      </c>
      <c r="C57" s="10">
        <v>10</v>
      </c>
      <c r="D57" s="13">
        <v>597.33000000000004</v>
      </c>
      <c r="E57" s="9">
        <f t="shared" si="1"/>
        <v>5973.3</v>
      </c>
    </row>
    <row r="58" spans="1:5" x14ac:dyDescent="0.25">
      <c r="A58" s="4">
        <v>45329</v>
      </c>
      <c r="B58" s="2" t="s">
        <v>14</v>
      </c>
      <c r="C58" s="10">
        <v>2</v>
      </c>
      <c r="D58" s="13">
        <v>583.63</v>
      </c>
      <c r="E58" s="9">
        <f t="shared" si="1"/>
        <v>1167.26</v>
      </c>
    </row>
    <row r="59" spans="1:5" x14ac:dyDescent="0.25">
      <c r="A59" s="4">
        <v>45336</v>
      </c>
      <c r="B59" s="2" t="s">
        <v>14</v>
      </c>
      <c r="C59" s="10">
        <v>1</v>
      </c>
      <c r="D59" s="13">
        <v>566.26</v>
      </c>
      <c r="E59" s="9">
        <f t="shared" si="1"/>
        <v>566.26</v>
      </c>
    </row>
    <row r="60" spans="1:5" x14ac:dyDescent="0.25">
      <c r="A60" s="4">
        <v>45264</v>
      </c>
      <c r="B60" s="2" t="s">
        <v>15</v>
      </c>
      <c r="C60" s="10">
        <v>50</v>
      </c>
      <c r="D60" s="13">
        <v>360.28</v>
      </c>
      <c r="E60" s="9">
        <f t="shared" si="1"/>
        <v>18014</v>
      </c>
    </row>
    <row r="61" spans="1:5" x14ac:dyDescent="0.25">
      <c r="A61" s="4">
        <v>45265</v>
      </c>
      <c r="B61" s="2" t="s">
        <v>15</v>
      </c>
      <c r="C61" s="10">
        <v>20</v>
      </c>
      <c r="D61" s="13">
        <v>366.78</v>
      </c>
      <c r="E61" s="9">
        <f t="shared" si="1"/>
        <v>7335.5999999999995</v>
      </c>
    </row>
    <row r="62" spans="1:5" x14ac:dyDescent="0.25">
      <c r="A62" s="4">
        <v>45419</v>
      </c>
      <c r="B62" s="2" t="s">
        <v>15</v>
      </c>
      <c r="C62" s="10">
        <v>65</v>
      </c>
      <c r="D62" s="13">
        <v>326.10000000000002</v>
      </c>
      <c r="E62" s="9">
        <f t="shared" si="1"/>
        <v>21196.5</v>
      </c>
    </row>
    <row r="63" spans="1:5" x14ac:dyDescent="0.25">
      <c r="A63" s="4">
        <v>45961</v>
      </c>
      <c r="B63" s="2" t="s">
        <v>15</v>
      </c>
      <c r="C63" s="10">
        <v>15</v>
      </c>
      <c r="D63" s="13">
        <v>424.17</v>
      </c>
      <c r="E63" s="9">
        <f t="shared" si="1"/>
        <v>6362.55</v>
      </c>
    </row>
    <row r="64" spans="1:5" x14ac:dyDescent="0.25">
      <c r="A64" s="4">
        <v>45909</v>
      </c>
      <c r="B64" s="2" t="s">
        <v>16</v>
      </c>
      <c r="C64" s="10">
        <v>300</v>
      </c>
      <c r="D64" s="13">
        <v>98.64</v>
      </c>
      <c r="E64" s="9">
        <f t="shared" si="1"/>
        <v>29592</v>
      </c>
    </row>
    <row r="65" spans="1:5" x14ac:dyDescent="0.25">
      <c r="A65" s="4">
        <v>45916</v>
      </c>
      <c r="B65" s="2" t="s">
        <v>17</v>
      </c>
      <c r="C65" s="10">
        <v>400</v>
      </c>
      <c r="D65" s="13">
        <v>75.599999999999994</v>
      </c>
      <c r="E65" s="9">
        <f t="shared" si="1"/>
        <v>30239.999999999996</v>
      </c>
    </row>
    <row r="66" spans="1:5" x14ac:dyDescent="0.25">
      <c r="A66" s="4">
        <v>45908</v>
      </c>
      <c r="B66" s="2" t="s">
        <v>18</v>
      </c>
      <c r="C66" s="10">
        <v>200</v>
      </c>
      <c r="D66" s="13">
        <v>61.45</v>
      </c>
      <c r="E66" s="9">
        <f t="shared" si="1"/>
        <v>12290</v>
      </c>
    </row>
    <row r="67" spans="1:5" x14ac:dyDescent="0.25">
      <c r="A67" s="4">
        <v>44915</v>
      </c>
      <c r="B67" s="2" t="s">
        <v>18</v>
      </c>
      <c r="C67" s="2">
        <v>300</v>
      </c>
      <c r="D67" s="2">
        <v>34.21</v>
      </c>
      <c r="E67" s="2">
        <f t="shared" ref="E67:E98" si="2">C67*D67</f>
        <v>10263</v>
      </c>
    </row>
    <row r="68" spans="1:5" x14ac:dyDescent="0.25">
      <c r="A68" s="4">
        <v>46050</v>
      </c>
      <c r="B68" s="2" t="s">
        <v>18</v>
      </c>
      <c r="C68" s="2">
        <v>100</v>
      </c>
      <c r="D68" s="2">
        <v>32.08</v>
      </c>
      <c r="E68" s="2">
        <f t="shared" si="2"/>
        <v>3208</v>
      </c>
    </row>
    <row r="69" spans="1:5" x14ac:dyDescent="0.25">
      <c r="A69" s="4">
        <v>45596</v>
      </c>
      <c r="B69" s="2" t="s">
        <v>19</v>
      </c>
      <c r="C69" s="10">
        <v>150</v>
      </c>
      <c r="D69" s="13">
        <v>97.19</v>
      </c>
      <c r="E69" s="9">
        <f t="shared" si="2"/>
        <v>14578.5</v>
      </c>
    </row>
    <row r="70" spans="1:5" x14ac:dyDescent="0.25">
      <c r="A70" s="4">
        <v>45671</v>
      </c>
      <c r="B70" s="2" t="s">
        <v>19</v>
      </c>
      <c r="C70" s="10">
        <v>130</v>
      </c>
      <c r="D70" s="13">
        <v>97.02</v>
      </c>
      <c r="E70" s="9">
        <f t="shared" si="2"/>
        <v>12612.6</v>
      </c>
    </row>
    <row r="71" spans="1:5" x14ac:dyDescent="0.25">
      <c r="A71" s="4">
        <v>45828</v>
      </c>
      <c r="B71" s="2" t="s">
        <v>19</v>
      </c>
      <c r="C71" s="10">
        <v>120</v>
      </c>
      <c r="D71" s="13">
        <v>101.9</v>
      </c>
      <c r="E71" s="9">
        <f t="shared" si="2"/>
        <v>12228</v>
      </c>
    </row>
    <row r="72" spans="1:5" x14ac:dyDescent="0.25">
      <c r="A72" s="4">
        <v>45873</v>
      </c>
      <c r="B72" s="2" t="s">
        <v>19</v>
      </c>
      <c r="C72" s="10">
        <v>100</v>
      </c>
      <c r="D72" s="13">
        <v>103.63</v>
      </c>
      <c r="E72" s="9">
        <f t="shared" si="2"/>
        <v>10363</v>
      </c>
    </row>
    <row r="73" spans="1:5" x14ac:dyDescent="0.25">
      <c r="A73" s="4">
        <v>45631</v>
      </c>
      <c r="B73" s="2" t="s">
        <v>20</v>
      </c>
      <c r="C73" s="10">
        <v>30</v>
      </c>
      <c r="D73" s="13">
        <v>926.4</v>
      </c>
      <c r="E73" s="9">
        <f t="shared" si="2"/>
        <v>27792</v>
      </c>
    </row>
    <row r="74" spans="1:5" x14ac:dyDescent="0.25">
      <c r="A74" s="4">
        <v>45672</v>
      </c>
      <c r="B74" s="2" t="s">
        <v>20</v>
      </c>
      <c r="C74" s="10">
        <v>20</v>
      </c>
      <c r="D74" s="13">
        <v>845</v>
      </c>
      <c r="E74" s="9">
        <f t="shared" si="2"/>
        <v>16900</v>
      </c>
    </row>
    <row r="75" spans="1:5" x14ac:dyDescent="0.25">
      <c r="A75" s="4">
        <v>45870</v>
      </c>
      <c r="B75" s="2" t="s">
        <v>20</v>
      </c>
      <c r="C75" s="10">
        <v>10</v>
      </c>
      <c r="D75" s="13">
        <v>828.6</v>
      </c>
      <c r="E75" s="9">
        <f t="shared" si="2"/>
        <v>8286</v>
      </c>
    </row>
    <row r="76" spans="1:5" x14ac:dyDescent="0.25">
      <c r="A76" s="4">
        <v>45915</v>
      </c>
      <c r="B76" s="2" t="s">
        <v>20</v>
      </c>
      <c r="C76" s="10">
        <v>10</v>
      </c>
      <c r="D76" s="13">
        <v>834.5</v>
      </c>
      <c r="E76" s="9">
        <f t="shared" si="2"/>
        <v>8345</v>
      </c>
    </row>
    <row r="77" spans="1:5" x14ac:dyDescent="0.25">
      <c r="A77" s="4">
        <v>45384</v>
      </c>
      <c r="B77" s="2" t="s">
        <v>21</v>
      </c>
      <c r="C77" s="10">
        <v>10</v>
      </c>
      <c r="D77" s="13">
        <v>1396.05</v>
      </c>
      <c r="E77" s="9">
        <f t="shared" si="2"/>
        <v>13960.5</v>
      </c>
    </row>
    <row r="78" spans="1:5" x14ac:dyDescent="0.25">
      <c r="A78" s="4">
        <v>45474</v>
      </c>
      <c r="B78" s="2" t="s">
        <v>22</v>
      </c>
      <c r="C78" s="10">
        <v>20</v>
      </c>
      <c r="D78" s="13">
        <v>728.6</v>
      </c>
      <c r="E78" s="9">
        <f t="shared" si="2"/>
        <v>14572</v>
      </c>
    </row>
    <row r="79" spans="1:5" x14ac:dyDescent="0.25">
      <c r="A79" s="5">
        <v>45595</v>
      </c>
      <c r="B79" s="2" t="s">
        <v>22</v>
      </c>
      <c r="C79" s="10">
        <v>20</v>
      </c>
      <c r="D79" s="13">
        <v>691.7</v>
      </c>
      <c r="E79" s="9">
        <f t="shared" si="2"/>
        <v>13834</v>
      </c>
    </row>
    <row r="80" spans="1:5" x14ac:dyDescent="0.25">
      <c r="A80" s="5">
        <v>45846</v>
      </c>
      <c r="B80" s="2" t="s">
        <v>22</v>
      </c>
      <c r="C80" s="10">
        <v>60</v>
      </c>
      <c r="D80" s="13">
        <v>915.9</v>
      </c>
      <c r="E80" s="9">
        <f t="shared" si="2"/>
        <v>54954</v>
      </c>
    </row>
    <row r="81" spans="1:5" x14ac:dyDescent="0.25">
      <c r="A81" s="5">
        <v>45901</v>
      </c>
      <c r="B81" s="2" t="s">
        <v>22</v>
      </c>
      <c r="C81" s="10">
        <v>20</v>
      </c>
      <c r="D81" s="13">
        <v>806.8</v>
      </c>
      <c r="E81" s="9">
        <f t="shared" si="2"/>
        <v>16136</v>
      </c>
    </row>
    <row r="82" spans="1:5" x14ac:dyDescent="0.25">
      <c r="A82" s="4">
        <v>45811</v>
      </c>
      <c r="B82" s="2" t="s">
        <v>23</v>
      </c>
      <c r="C82" s="10">
        <v>100</v>
      </c>
      <c r="D82" s="13">
        <v>399.8</v>
      </c>
      <c r="E82" s="9">
        <f t="shared" si="2"/>
        <v>39980</v>
      </c>
    </row>
    <row r="83" spans="1:5" x14ac:dyDescent="0.25">
      <c r="A83" s="6">
        <v>45812</v>
      </c>
      <c r="B83" s="2" t="s">
        <v>23</v>
      </c>
      <c r="C83" s="10">
        <v>100</v>
      </c>
      <c r="D83" s="13">
        <v>402.31</v>
      </c>
      <c r="E83" s="9">
        <f t="shared" si="2"/>
        <v>40231</v>
      </c>
    </row>
    <row r="84" spans="1:5" x14ac:dyDescent="0.25">
      <c r="A84" s="4">
        <v>45448</v>
      </c>
      <c r="B84" s="2" t="s">
        <v>24</v>
      </c>
      <c r="C84" s="10">
        <v>25</v>
      </c>
      <c r="D84" s="13">
        <v>768.45</v>
      </c>
      <c r="E84" s="9">
        <f t="shared" si="2"/>
        <v>19211.25</v>
      </c>
    </row>
    <row r="85" spans="1:5" x14ac:dyDescent="0.25">
      <c r="A85" s="4">
        <v>45520</v>
      </c>
      <c r="B85" s="2" t="s">
        <v>24</v>
      </c>
      <c r="C85" s="10">
        <v>30</v>
      </c>
      <c r="D85" s="13">
        <v>812.4</v>
      </c>
      <c r="E85" s="9">
        <f t="shared" si="2"/>
        <v>24372</v>
      </c>
    </row>
    <row r="86" spans="1:5" x14ac:dyDescent="0.25">
      <c r="A86" s="4">
        <v>45554</v>
      </c>
      <c r="B86" s="2" t="s">
        <v>24</v>
      </c>
      <c r="C86" s="10">
        <v>30</v>
      </c>
      <c r="D86" s="13">
        <v>797.5</v>
      </c>
      <c r="E86" s="9">
        <f t="shared" si="2"/>
        <v>23925</v>
      </c>
    </row>
    <row r="87" spans="1:5" x14ac:dyDescent="0.25">
      <c r="A87" s="6">
        <v>45595</v>
      </c>
      <c r="B87" s="2" t="s">
        <v>24</v>
      </c>
      <c r="C87" s="10">
        <v>15</v>
      </c>
      <c r="D87" s="13">
        <v>830</v>
      </c>
      <c r="E87" s="9">
        <f t="shared" si="2"/>
        <v>12450</v>
      </c>
    </row>
    <row r="88" spans="1:5" x14ac:dyDescent="0.25">
      <c r="A88" s="5">
        <v>45398</v>
      </c>
      <c r="B88" s="2" t="s">
        <v>25</v>
      </c>
      <c r="C88" s="10">
        <v>777</v>
      </c>
      <c r="D88" s="13">
        <v>64.03</v>
      </c>
      <c r="E88" s="9">
        <f t="shared" si="2"/>
        <v>49751.31</v>
      </c>
    </row>
    <row r="89" spans="1:5" x14ac:dyDescent="0.25">
      <c r="A89" s="4">
        <v>45454</v>
      </c>
      <c r="B89" s="2" t="s">
        <v>25</v>
      </c>
      <c r="C89" s="10">
        <v>841</v>
      </c>
      <c r="D89" s="13">
        <v>62.15</v>
      </c>
      <c r="E89" s="9">
        <f t="shared" si="2"/>
        <v>52268.15</v>
      </c>
    </row>
    <row r="90" spans="1:5" x14ac:dyDescent="0.25">
      <c r="A90" s="5">
        <v>45511</v>
      </c>
      <c r="B90" s="2" t="s">
        <v>25</v>
      </c>
      <c r="C90" s="10">
        <v>1671</v>
      </c>
      <c r="D90" s="13">
        <v>59.87</v>
      </c>
      <c r="E90" s="9">
        <f t="shared" si="2"/>
        <v>100042.76999999999</v>
      </c>
    </row>
    <row r="91" spans="1:5" x14ac:dyDescent="0.25">
      <c r="A91" s="5">
        <v>45607</v>
      </c>
      <c r="B91" s="2" t="s">
        <v>25</v>
      </c>
      <c r="C91" s="10">
        <v>1500</v>
      </c>
      <c r="D91" s="13">
        <v>66.64</v>
      </c>
      <c r="E91" s="9">
        <f t="shared" si="2"/>
        <v>99960</v>
      </c>
    </row>
    <row r="92" spans="1:5" x14ac:dyDescent="0.25">
      <c r="A92" s="5">
        <v>45771</v>
      </c>
      <c r="B92" s="2" t="s">
        <v>25</v>
      </c>
      <c r="C92" s="10">
        <v>711</v>
      </c>
      <c r="D92" s="13">
        <v>83.03</v>
      </c>
      <c r="E92" s="9">
        <f t="shared" si="2"/>
        <v>59034.33</v>
      </c>
    </row>
    <row r="93" spans="1:5" x14ac:dyDescent="0.25">
      <c r="A93" s="5">
        <v>45779</v>
      </c>
      <c r="B93" s="2" t="s">
        <v>25</v>
      </c>
      <c r="C93" s="10">
        <v>400</v>
      </c>
      <c r="D93" s="13">
        <v>80.38</v>
      </c>
      <c r="E93" s="9">
        <f t="shared" si="2"/>
        <v>32152</v>
      </c>
    </row>
    <row r="94" spans="1:5" x14ac:dyDescent="0.25">
      <c r="A94" s="5">
        <v>45791</v>
      </c>
      <c r="B94" s="2" t="s">
        <v>25</v>
      </c>
      <c r="C94" s="10">
        <v>500</v>
      </c>
      <c r="D94" s="13">
        <v>80.930000000000007</v>
      </c>
      <c r="E94" s="9">
        <f t="shared" si="2"/>
        <v>40465</v>
      </c>
    </row>
    <row r="95" spans="1:5" x14ac:dyDescent="0.25">
      <c r="A95" s="5">
        <v>45908</v>
      </c>
      <c r="B95" s="2" t="s">
        <v>25</v>
      </c>
      <c r="C95" s="10">
        <v>100</v>
      </c>
      <c r="D95" s="13">
        <v>92.6</v>
      </c>
      <c r="E95" s="9">
        <f t="shared" si="2"/>
        <v>9260</v>
      </c>
    </row>
    <row r="96" spans="1:5" x14ac:dyDescent="0.25">
      <c r="A96" s="4">
        <v>45930</v>
      </c>
      <c r="B96" s="2" t="s">
        <v>25</v>
      </c>
      <c r="C96" s="10">
        <v>100</v>
      </c>
      <c r="D96" s="13">
        <v>100.33</v>
      </c>
      <c r="E96" s="9">
        <f t="shared" si="2"/>
        <v>10033</v>
      </c>
    </row>
    <row r="97" spans="1:5" x14ac:dyDescent="0.25">
      <c r="A97" s="4">
        <v>45940</v>
      </c>
      <c r="B97" s="2" t="s">
        <v>25</v>
      </c>
      <c r="C97" s="10">
        <v>100</v>
      </c>
      <c r="D97" s="13">
        <v>102.89</v>
      </c>
      <c r="E97" s="9">
        <f t="shared" si="2"/>
        <v>10289</v>
      </c>
    </row>
    <row r="98" spans="1:5" x14ac:dyDescent="0.25">
      <c r="A98" s="4">
        <v>45961</v>
      </c>
      <c r="B98" s="2" t="s">
        <v>25</v>
      </c>
      <c r="C98" s="10">
        <v>100</v>
      </c>
      <c r="D98" s="13">
        <v>102.97</v>
      </c>
      <c r="E98" s="9">
        <f t="shared" si="2"/>
        <v>10297</v>
      </c>
    </row>
    <row r="99" spans="1:5" x14ac:dyDescent="0.25">
      <c r="A99" s="4">
        <v>46044</v>
      </c>
      <c r="B99" s="2" t="s">
        <v>25</v>
      </c>
      <c r="C99" s="2">
        <v>700</v>
      </c>
      <c r="D99" s="2">
        <v>129.26</v>
      </c>
      <c r="E99" s="2">
        <f t="shared" ref="E99:E130" si="3">C99*D99</f>
        <v>90482</v>
      </c>
    </row>
    <row r="100" spans="1:5" x14ac:dyDescent="0.25">
      <c r="A100" s="4">
        <v>45615</v>
      </c>
      <c r="B100" s="2" t="s">
        <v>26</v>
      </c>
      <c r="C100" s="10">
        <v>50</v>
      </c>
      <c r="D100" s="13">
        <v>250.99</v>
      </c>
      <c r="E100" s="9">
        <f t="shared" si="3"/>
        <v>12549.5</v>
      </c>
    </row>
    <row r="101" spans="1:5" x14ac:dyDescent="0.25">
      <c r="A101" s="5">
        <v>45721</v>
      </c>
      <c r="B101" s="2" t="s">
        <v>26</v>
      </c>
      <c r="C101" s="10">
        <v>100</v>
      </c>
      <c r="D101" s="13">
        <v>236.44</v>
      </c>
      <c r="E101" s="9">
        <f t="shared" si="3"/>
        <v>23644</v>
      </c>
    </row>
    <row r="102" spans="1:5" x14ac:dyDescent="0.25">
      <c r="A102" s="4">
        <v>45222</v>
      </c>
      <c r="B102" s="2" t="s">
        <v>27</v>
      </c>
      <c r="C102" s="10">
        <v>1</v>
      </c>
      <c r="D102" s="13">
        <v>464.86</v>
      </c>
      <c r="E102" s="9">
        <f t="shared" si="3"/>
        <v>464.86</v>
      </c>
    </row>
    <row r="103" spans="1:5" x14ac:dyDescent="0.25">
      <c r="A103" s="4">
        <v>45645</v>
      </c>
      <c r="B103" s="2" t="s">
        <v>27</v>
      </c>
      <c r="C103" s="10">
        <v>11</v>
      </c>
      <c r="D103" s="13">
        <v>747.8</v>
      </c>
      <c r="E103" s="9">
        <f t="shared" si="3"/>
        <v>8225.7999999999993</v>
      </c>
    </row>
    <row r="104" spans="1:5" x14ac:dyDescent="0.25">
      <c r="A104" s="4">
        <v>45663</v>
      </c>
      <c r="B104" s="2" t="s">
        <v>27</v>
      </c>
      <c r="C104" s="10">
        <v>13</v>
      </c>
      <c r="D104" s="13">
        <v>710</v>
      </c>
      <c r="E104" s="9">
        <f t="shared" si="3"/>
        <v>9230</v>
      </c>
    </row>
    <row r="105" spans="1:5" x14ac:dyDescent="0.25">
      <c r="A105" s="4">
        <v>45721</v>
      </c>
      <c r="B105" s="2" t="s">
        <v>27</v>
      </c>
      <c r="C105" s="10">
        <v>45</v>
      </c>
      <c r="D105" s="13">
        <v>626.28</v>
      </c>
      <c r="E105" s="9">
        <f t="shared" si="3"/>
        <v>28182.6</v>
      </c>
    </row>
    <row r="106" spans="1:5" x14ac:dyDescent="0.25">
      <c r="A106" s="4">
        <v>45930</v>
      </c>
      <c r="B106" s="2" t="s">
        <v>27</v>
      </c>
      <c r="C106" s="10">
        <v>30</v>
      </c>
      <c r="D106" s="13">
        <v>722.97</v>
      </c>
      <c r="E106" s="9">
        <f t="shared" si="3"/>
        <v>21689.100000000002</v>
      </c>
    </row>
    <row r="107" spans="1:5" x14ac:dyDescent="0.25">
      <c r="A107" s="7" t="s">
        <v>41</v>
      </c>
      <c r="B107" s="2" t="s">
        <v>28</v>
      </c>
      <c r="C107" s="10">
        <v>16</v>
      </c>
      <c r="D107" s="12">
        <v>6213</v>
      </c>
      <c r="E107" s="9">
        <f t="shared" si="3"/>
        <v>99408</v>
      </c>
    </row>
    <row r="108" spans="1:5" x14ac:dyDescent="0.25">
      <c r="A108" s="6">
        <v>45484</v>
      </c>
      <c r="B108" s="2" t="s">
        <v>29</v>
      </c>
      <c r="C108" s="10">
        <v>20</v>
      </c>
      <c r="D108" s="13">
        <v>617</v>
      </c>
      <c r="E108" s="9">
        <f t="shared" si="3"/>
        <v>12340</v>
      </c>
    </row>
    <row r="109" spans="1:5" x14ac:dyDescent="0.25">
      <c r="A109" s="6">
        <v>45734</v>
      </c>
      <c r="B109" s="2" t="s">
        <v>29</v>
      </c>
      <c r="C109" s="10">
        <v>30</v>
      </c>
      <c r="D109" s="13">
        <v>356.2</v>
      </c>
      <c r="E109" s="9">
        <f t="shared" si="3"/>
        <v>10686</v>
      </c>
    </row>
    <row r="110" spans="1:5" x14ac:dyDescent="0.25">
      <c r="A110" s="4">
        <v>45723</v>
      </c>
      <c r="B110" s="2" t="s">
        <v>30</v>
      </c>
      <c r="C110" s="10">
        <v>100</v>
      </c>
      <c r="D110" s="13">
        <v>357.2</v>
      </c>
      <c r="E110" s="9">
        <f t="shared" si="3"/>
        <v>35720</v>
      </c>
    </row>
    <row r="111" spans="1:5" x14ac:dyDescent="0.25">
      <c r="A111" s="4">
        <v>46036</v>
      </c>
      <c r="B111" s="2" t="s">
        <v>30</v>
      </c>
      <c r="C111" s="10">
        <v>20</v>
      </c>
      <c r="D111" s="13">
        <v>367.4</v>
      </c>
      <c r="E111" s="9">
        <f t="shared" si="3"/>
        <v>7348</v>
      </c>
    </row>
    <row r="112" spans="1:5" x14ac:dyDescent="0.25">
      <c r="A112" s="4">
        <v>46038</v>
      </c>
      <c r="B112" s="2" t="s">
        <v>30</v>
      </c>
      <c r="C112" s="10">
        <v>5</v>
      </c>
      <c r="D112" s="13">
        <v>366.1</v>
      </c>
      <c r="E112" s="9">
        <f t="shared" si="3"/>
        <v>1830.5</v>
      </c>
    </row>
    <row r="113" spans="1:5" x14ac:dyDescent="0.25">
      <c r="A113" s="4">
        <v>45818</v>
      </c>
      <c r="B113" s="2" t="s">
        <v>32</v>
      </c>
      <c r="C113" s="10">
        <v>20</v>
      </c>
      <c r="D113" s="13">
        <v>3452.85</v>
      </c>
      <c r="E113" s="9">
        <f t="shared" si="3"/>
        <v>69057</v>
      </c>
    </row>
    <row r="114" spans="1:5" x14ac:dyDescent="0.25">
      <c r="A114" s="4">
        <v>45457</v>
      </c>
      <c r="B114" s="2" t="s">
        <v>33</v>
      </c>
      <c r="C114" s="10">
        <v>321</v>
      </c>
      <c r="D114" s="13">
        <v>49.97</v>
      </c>
      <c r="E114" s="9">
        <f t="shared" si="3"/>
        <v>16040.369999999999</v>
      </c>
    </row>
    <row r="115" spans="1:5" x14ac:dyDescent="0.25">
      <c r="A115" s="6">
        <v>45666</v>
      </c>
      <c r="B115" s="2" t="s">
        <v>33</v>
      </c>
      <c r="C115" s="10">
        <v>329</v>
      </c>
      <c r="D115" s="13">
        <v>36.08</v>
      </c>
      <c r="E115" s="9">
        <f t="shared" si="3"/>
        <v>11870.32</v>
      </c>
    </row>
    <row r="116" spans="1:5" x14ac:dyDescent="0.25">
      <c r="A116" s="6">
        <v>45908</v>
      </c>
      <c r="B116" s="2" t="s">
        <v>33</v>
      </c>
      <c r="C116" s="10">
        <v>150</v>
      </c>
      <c r="D116" s="13">
        <v>44.09</v>
      </c>
      <c r="E116" s="9">
        <f t="shared" si="3"/>
        <v>6613.5000000000009</v>
      </c>
    </row>
    <row r="117" spans="1:5" x14ac:dyDescent="0.25">
      <c r="A117" s="4">
        <v>45917</v>
      </c>
      <c r="B117" s="2" t="s">
        <v>34</v>
      </c>
      <c r="C117" s="10">
        <v>50</v>
      </c>
      <c r="D117" s="13">
        <v>466.75</v>
      </c>
      <c r="E117" s="9">
        <f t="shared" si="3"/>
        <v>23337.5</v>
      </c>
    </row>
    <row r="118" spans="1:5" x14ac:dyDescent="0.25">
      <c r="A118" s="4">
        <v>45959</v>
      </c>
      <c r="B118" s="2" t="s">
        <v>34</v>
      </c>
      <c r="C118" s="10">
        <v>50</v>
      </c>
      <c r="D118" s="13">
        <v>486.1</v>
      </c>
      <c r="E118" s="9">
        <f t="shared" si="3"/>
        <v>24305</v>
      </c>
    </row>
    <row r="119" spans="1:5" x14ac:dyDescent="0.25">
      <c r="A119" s="5">
        <v>45688</v>
      </c>
      <c r="B119" s="2" t="s">
        <v>35</v>
      </c>
      <c r="C119" s="10">
        <v>10</v>
      </c>
      <c r="D119" s="13">
        <v>1248.9000000000001</v>
      </c>
      <c r="E119" s="9">
        <f t="shared" si="3"/>
        <v>12489</v>
      </c>
    </row>
    <row r="120" spans="1:5" x14ac:dyDescent="0.25">
      <c r="A120" s="5">
        <v>45689</v>
      </c>
      <c r="B120" s="2" t="s">
        <v>35</v>
      </c>
      <c r="C120" s="10">
        <v>10</v>
      </c>
      <c r="D120" s="13">
        <v>1305</v>
      </c>
      <c r="E120" s="9">
        <f t="shared" si="3"/>
        <v>13050</v>
      </c>
    </row>
    <row r="121" spans="1:5" x14ac:dyDescent="0.25">
      <c r="A121" s="5">
        <v>45805</v>
      </c>
      <c r="B121" s="2" t="s">
        <v>35</v>
      </c>
      <c r="C121" s="10">
        <v>30</v>
      </c>
      <c r="D121" s="12">
        <v>1257.5</v>
      </c>
      <c r="E121" s="9">
        <f t="shared" si="3"/>
        <v>37725</v>
      </c>
    </row>
    <row r="122" spans="1:5" x14ac:dyDescent="0.25">
      <c r="A122" s="4">
        <v>45923</v>
      </c>
      <c r="B122" s="2" t="s">
        <v>42</v>
      </c>
      <c r="C122" s="10">
        <v>25</v>
      </c>
      <c r="D122" s="13">
        <v>1327.3</v>
      </c>
      <c r="E122" s="9">
        <f t="shared" si="3"/>
        <v>33182.5</v>
      </c>
    </row>
    <row r="123" spans="1:5" x14ac:dyDescent="0.25">
      <c r="A123" s="4">
        <v>46036</v>
      </c>
      <c r="B123" s="2" t="s">
        <v>42</v>
      </c>
      <c r="C123" s="10">
        <v>15</v>
      </c>
      <c r="D123" s="13">
        <v>1340.9</v>
      </c>
      <c r="E123" s="9">
        <f t="shared" si="3"/>
        <v>20113.5</v>
      </c>
    </row>
    <row r="124" spans="1:5" x14ac:dyDescent="0.25">
      <c r="A124" s="4">
        <v>45924</v>
      </c>
      <c r="B124" s="2" t="s">
        <v>43</v>
      </c>
      <c r="C124" s="10">
        <v>25</v>
      </c>
      <c r="D124" s="13">
        <v>901.35</v>
      </c>
      <c r="E124" s="9">
        <f t="shared" si="3"/>
        <v>22533.75</v>
      </c>
    </row>
    <row r="125" spans="1:5" x14ac:dyDescent="0.25">
      <c r="A125" s="4">
        <v>45972</v>
      </c>
      <c r="B125" s="2" t="s">
        <v>43</v>
      </c>
      <c r="C125" s="10">
        <v>10</v>
      </c>
      <c r="D125" s="13">
        <v>761.3</v>
      </c>
      <c r="E125" s="9">
        <f t="shared" si="3"/>
        <v>7613</v>
      </c>
    </row>
    <row r="126" spans="1:5" x14ac:dyDescent="0.25">
      <c r="A126" s="4">
        <v>46052</v>
      </c>
      <c r="B126" s="2" t="s">
        <v>43</v>
      </c>
      <c r="C126" s="2">
        <v>15</v>
      </c>
      <c r="D126" s="2">
        <v>666.37</v>
      </c>
      <c r="E126" s="2">
        <f t="shared" si="3"/>
        <v>9995.5499999999993</v>
      </c>
    </row>
    <row r="127" spans="1:5" x14ac:dyDescent="0.25">
      <c r="A127" s="4">
        <v>45945</v>
      </c>
      <c r="B127" s="2" t="s">
        <v>45</v>
      </c>
      <c r="C127" s="10">
        <v>1000</v>
      </c>
      <c r="D127" s="13">
        <v>108.97</v>
      </c>
      <c r="E127" s="9">
        <f t="shared" si="3"/>
        <v>108970</v>
      </c>
    </row>
    <row r="128" spans="1:5" x14ac:dyDescent="0.25">
      <c r="A128" s="5">
        <v>45953</v>
      </c>
      <c r="B128" s="2" t="s">
        <v>46</v>
      </c>
      <c r="C128" s="10">
        <v>100</v>
      </c>
      <c r="D128" s="13">
        <v>100.74</v>
      </c>
      <c r="E128" s="9">
        <f t="shared" si="3"/>
        <v>10074</v>
      </c>
    </row>
    <row r="129" spans="1:5" x14ac:dyDescent="0.25">
      <c r="A129" s="5">
        <v>45958</v>
      </c>
      <c r="B129" s="2" t="s">
        <v>46</v>
      </c>
      <c r="C129" s="10">
        <v>100</v>
      </c>
      <c r="D129" s="13">
        <v>96.92</v>
      </c>
      <c r="E129" s="9">
        <f t="shared" si="3"/>
        <v>9692</v>
      </c>
    </row>
    <row r="130" spans="1:5" x14ac:dyDescent="0.25">
      <c r="A130" s="5">
        <v>45967</v>
      </c>
      <c r="B130" s="2" t="s">
        <v>46</v>
      </c>
      <c r="C130" s="10">
        <v>100</v>
      </c>
      <c r="D130" s="13">
        <v>99.53</v>
      </c>
      <c r="E130" s="9">
        <f t="shared" si="3"/>
        <v>9953</v>
      </c>
    </row>
    <row r="131" spans="1:5" x14ac:dyDescent="0.25">
      <c r="A131" s="5">
        <v>45968</v>
      </c>
      <c r="B131" s="2" t="s">
        <v>46</v>
      </c>
      <c r="C131" s="10">
        <v>100</v>
      </c>
      <c r="D131" s="13">
        <v>99.98</v>
      </c>
      <c r="E131" s="9">
        <f t="shared" ref="E131:E149" si="4">C131*D131</f>
        <v>9998</v>
      </c>
    </row>
    <row r="132" spans="1:5" x14ac:dyDescent="0.25">
      <c r="A132" s="5">
        <v>45971</v>
      </c>
      <c r="B132" s="2" t="s">
        <v>46</v>
      </c>
      <c r="C132" s="10">
        <v>100</v>
      </c>
      <c r="D132" s="13">
        <v>101.76</v>
      </c>
      <c r="E132" s="9">
        <f t="shared" si="4"/>
        <v>10176</v>
      </c>
    </row>
    <row r="133" spans="1:5" x14ac:dyDescent="0.25">
      <c r="A133" s="5">
        <v>45659</v>
      </c>
      <c r="B133" s="2" t="s">
        <v>46</v>
      </c>
      <c r="C133" s="10">
        <v>100</v>
      </c>
      <c r="D133" s="13">
        <v>122.6</v>
      </c>
      <c r="E133" s="9">
        <f t="shared" si="4"/>
        <v>12260</v>
      </c>
    </row>
    <row r="134" spans="1:5" x14ac:dyDescent="0.25">
      <c r="A134" s="5">
        <v>45660</v>
      </c>
      <c r="B134" s="2" t="s">
        <v>46</v>
      </c>
      <c r="C134" s="10">
        <v>100</v>
      </c>
      <c r="D134" s="13">
        <v>118.67</v>
      </c>
      <c r="E134" s="9">
        <f t="shared" si="4"/>
        <v>11867</v>
      </c>
    </row>
    <row r="135" spans="1:5" x14ac:dyDescent="0.25">
      <c r="A135" s="4">
        <v>45961</v>
      </c>
      <c r="B135" s="2" t="s">
        <v>47</v>
      </c>
      <c r="C135" s="10">
        <v>200</v>
      </c>
      <c r="D135" s="13">
        <v>138.77000000000001</v>
      </c>
      <c r="E135" s="9">
        <f t="shared" si="4"/>
        <v>27754.000000000004</v>
      </c>
    </row>
    <row r="136" spans="1:5" x14ac:dyDescent="0.25">
      <c r="A136" s="4">
        <v>44789</v>
      </c>
      <c r="B136" s="2" t="s">
        <v>48</v>
      </c>
      <c r="C136" s="10">
        <v>5</v>
      </c>
      <c r="D136" s="12">
        <v>1792</v>
      </c>
      <c r="E136" s="9">
        <f t="shared" si="4"/>
        <v>8960</v>
      </c>
    </row>
    <row r="137" spans="1:5" x14ac:dyDescent="0.25">
      <c r="A137" s="4">
        <v>44789</v>
      </c>
      <c r="B137" s="2" t="s">
        <v>49</v>
      </c>
      <c r="C137" s="10">
        <v>20</v>
      </c>
      <c r="D137" s="13">
        <v>31.57</v>
      </c>
      <c r="E137" s="9">
        <f t="shared" si="4"/>
        <v>631.4</v>
      </c>
    </row>
    <row r="138" spans="1:5" x14ac:dyDescent="0.25">
      <c r="A138" s="4">
        <v>45980</v>
      </c>
      <c r="B138" s="2" t="s">
        <v>103</v>
      </c>
      <c r="C138" s="2">
        <v>65</v>
      </c>
      <c r="D138" s="12">
        <v>616</v>
      </c>
      <c r="E138" s="9">
        <f t="shared" si="4"/>
        <v>40040</v>
      </c>
    </row>
    <row r="139" spans="1:5" x14ac:dyDescent="0.25">
      <c r="A139" s="4">
        <v>45985</v>
      </c>
      <c r="B139" s="2" t="s">
        <v>103</v>
      </c>
      <c r="C139" s="2">
        <v>5</v>
      </c>
      <c r="D139" s="12">
        <v>571.25</v>
      </c>
      <c r="E139" s="9">
        <f t="shared" si="4"/>
        <v>2856.25</v>
      </c>
    </row>
    <row r="140" spans="1:5" x14ac:dyDescent="0.25">
      <c r="A140" s="4">
        <v>46002</v>
      </c>
      <c r="B140" s="2" t="s">
        <v>103</v>
      </c>
      <c r="C140" s="2">
        <v>30</v>
      </c>
      <c r="D140" s="12">
        <v>514.25</v>
      </c>
      <c r="E140" s="9">
        <f t="shared" si="4"/>
        <v>15427.5</v>
      </c>
    </row>
    <row r="141" spans="1:5" x14ac:dyDescent="0.25">
      <c r="A141" s="4">
        <v>45994</v>
      </c>
      <c r="B141" s="2" t="s">
        <v>108</v>
      </c>
      <c r="C141" s="2">
        <v>50</v>
      </c>
      <c r="D141" s="12">
        <v>665.5</v>
      </c>
      <c r="E141" s="9">
        <f t="shared" si="4"/>
        <v>33275</v>
      </c>
    </row>
    <row r="142" spans="1:5" x14ac:dyDescent="0.25">
      <c r="A142" s="4">
        <v>46036</v>
      </c>
      <c r="B142" s="2" t="s">
        <v>167</v>
      </c>
      <c r="C142" s="2">
        <v>200</v>
      </c>
      <c r="D142" s="12">
        <v>105.18</v>
      </c>
      <c r="E142" s="9">
        <f t="shared" si="4"/>
        <v>21036</v>
      </c>
    </row>
    <row r="143" spans="1:5" x14ac:dyDescent="0.25">
      <c r="A143" s="4">
        <v>46052</v>
      </c>
      <c r="B143" s="2" t="s">
        <v>167</v>
      </c>
      <c r="C143" s="2">
        <v>200</v>
      </c>
      <c r="D143" s="2">
        <v>99.39</v>
      </c>
      <c r="E143" s="2">
        <f t="shared" si="4"/>
        <v>19878</v>
      </c>
    </row>
    <row r="144" spans="1:5" x14ac:dyDescent="0.25">
      <c r="A144" s="4">
        <v>46038</v>
      </c>
      <c r="B144" s="2" t="s">
        <v>168</v>
      </c>
      <c r="C144" s="2">
        <v>15</v>
      </c>
      <c r="D144" s="12">
        <v>2326.6999999999998</v>
      </c>
      <c r="E144" s="9">
        <f t="shared" si="4"/>
        <v>34900.5</v>
      </c>
    </row>
    <row r="145" spans="1:5" x14ac:dyDescent="0.25">
      <c r="A145" s="4">
        <v>46038</v>
      </c>
      <c r="B145" s="2" t="s">
        <v>169</v>
      </c>
      <c r="C145" s="2">
        <v>35</v>
      </c>
      <c r="D145" s="2">
        <v>1037.8</v>
      </c>
      <c r="E145" s="9">
        <f t="shared" si="4"/>
        <v>36323</v>
      </c>
    </row>
    <row r="146" spans="1:5" x14ac:dyDescent="0.25">
      <c r="A146" s="4">
        <v>46052</v>
      </c>
      <c r="B146" s="2" t="s">
        <v>169</v>
      </c>
      <c r="C146" s="2">
        <v>15</v>
      </c>
      <c r="D146" s="9">
        <v>951.3</v>
      </c>
      <c r="E146" s="9">
        <f t="shared" si="4"/>
        <v>14269.5</v>
      </c>
    </row>
    <row r="147" spans="1:5" x14ac:dyDescent="0.25">
      <c r="A147" s="4">
        <v>46058</v>
      </c>
      <c r="B147" s="2" t="s">
        <v>414</v>
      </c>
      <c r="C147" s="2">
        <v>100</v>
      </c>
      <c r="D147" s="9">
        <v>23.48</v>
      </c>
      <c r="E147" s="9">
        <f>C147*D147</f>
        <v>2348</v>
      </c>
    </row>
    <row r="148" spans="1:5" x14ac:dyDescent="0.25">
      <c r="A148" s="4">
        <v>46065</v>
      </c>
      <c r="B148" s="2" t="s">
        <v>414</v>
      </c>
      <c r="C148" s="2">
        <v>40</v>
      </c>
      <c r="D148" s="9">
        <v>25</v>
      </c>
      <c r="E148" s="9">
        <f>C148*D148</f>
        <v>1000</v>
      </c>
    </row>
    <row r="149" spans="1:5" x14ac:dyDescent="0.25">
      <c r="A149" s="4">
        <v>46064</v>
      </c>
      <c r="B149" s="2" t="s">
        <v>416</v>
      </c>
      <c r="C149" s="2">
        <v>1400</v>
      </c>
      <c r="D149" s="9">
        <v>29.01</v>
      </c>
      <c r="E149" s="9">
        <f t="shared" si="4"/>
        <v>40614</v>
      </c>
    </row>
    <row r="150" spans="1:5" x14ac:dyDescent="0.25">
      <c r="E150" s="9">
        <f>SUM(E2:E149)</f>
        <v>3225134.7199999997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1C91-F15B-4F26-A4F5-42923BBBE7A4}">
  <dimension ref="A1:J38"/>
  <sheetViews>
    <sheetView workbookViewId="0">
      <pane ySplit="1" topLeftCell="A11" activePane="bottomLeft" state="frozen"/>
      <selection pane="bottomLeft" activeCell="E32" sqref="E32"/>
    </sheetView>
  </sheetViews>
  <sheetFormatPr defaultRowHeight="15" x14ac:dyDescent="0.25"/>
  <cols>
    <col min="1" max="1" width="14" bestFit="1" customWidth="1"/>
    <col min="4" max="4" width="9.7109375" bestFit="1" customWidth="1"/>
    <col min="5" max="5" width="11" bestFit="1" customWidth="1"/>
    <col min="6" max="6" width="9.85546875" bestFit="1" customWidth="1"/>
    <col min="10" max="10" width="23.85546875" bestFit="1" customWidth="1"/>
    <col min="12" max="12" width="9.7109375" bestFit="1" customWidth="1"/>
    <col min="13" max="13" width="11" bestFit="1" customWidth="1"/>
  </cols>
  <sheetData>
    <row r="1" spans="1:10" x14ac:dyDescent="0.25">
      <c r="A1" t="s">
        <v>147</v>
      </c>
      <c r="B1" t="s">
        <v>393</v>
      </c>
      <c r="C1" t="s">
        <v>395</v>
      </c>
      <c r="D1" t="s">
        <v>394</v>
      </c>
      <c r="E1" t="s">
        <v>396</v>
      </c>
      <c r="F1" t="s">
        <v>397</v>
      </c>
      <c r="G1" t="s">
        <v>398</v>
      </c>
      <c r="H1" t="s">
        <v>399</v>
      </c>
      <c r="I1" t="s">
        <v>400</v>
      </c>
      <c r="J1" t="s">
        <v>410</v>
      </c>
    </row>
    <row r="2" spans="1:10" x14ac:dyDescent="0.25">
      <c r="A2" t="s">
        <v>13</v>
      </c>
      <c r="B2" t="s">
        <v>401</v>
      </c>
      <c r="C2" t="s">
        <v>402</v>
      </c>
      <c r="D2" t="s">
        <v>401</v>
      </c>
      <c r="E2" t="s">
        <v>401</v>
      </c>
      <c r="F2" t="s">
        <v>401</v>
      </c>
      <c r="G2" t="s">
        <v>401</v>
      </c>
      <c r="H2" t="s">
        <v>403</v>
      </c>
      <c r="I2" t="s">
        <v>401</v>
      </c>
      <c r="J2" t="s">
        <v>411</v>
      </c>
    </row>
    <row r="3" spans="1:10" x14ac:dyDescent="0.25">
      <c r="A3" s="23" t="s">
        <v>14</v>
      </c>
      <c r="B3" t="s">
        <v>403</v>
      </c>
      <c r="C3" t="s">
        <v>403</v>
      </c>
      <c r="D3" t="s">
        <v>403</v>
      </c>
      <c r="E3" t="s">
        <v>403</v>
      </c>
      <c r="F3" t="s">
        <v>401</v>
      </c>
      <c r="G3" t="s">
        <v>401</v>
      </c>
      <c r="H3" t="s">
        <v>403</v>
      </c>
      <c r="I3" t="s">
        <v>403</v>
      </c>
      <c r="J3" t="s">
        <v>412</v>
      </c>
    </row>
    <row r="4" spans="1:10" x14ac:dyDescent="0.25">
      <c r="A4" s="23" t="s">
        <v>22</v>
      </c>
      <c r="B4" t="s">
        <v>403</v>
      </c>
      <c r="C4" t="s">
        <v>403</v>
      </c>
      <c r="D4" t="s">
        <v>403</v>
      </c>
      <c r="E4" t="s">
        <v>403</v>
      </c>
      <c r="F4" t="s">
        <v>401</v>
      </c>
      <c r="G4" t="s">
        <v>403</v>
      </c>
      <c r="H4" t="s">
        <v>403</v>
      </c>
      <c r="I4" t="s">
        <v>401</v>
      </c>
      <c r="J4" t="s">
        <v>411</v>
      </c>
    </row>
    <row r="5" spans="1:10" x14ac:dyDescent="0.25">
      <c r="A5" t="s">
        <v>153</v>
      </c>
      <c r="B5" t="s">
        <v>403</v>
      </c>
      <c r="C5" t="s">
        <v>403</v>
      </c>
      <c r="D5" t="s">
        <v>403</v>
      </c>
      <c r="E5" t="s">
        <v>403</v>
      </c>
      <c r="F5" t="s">
        <v>401</v>
      </c>
      <c r="G5" t="s">
        <v>403</v>
      </c>
      <c r="H5" t="s">
        <v>401</v>
      </c>
      <c r="I5" t="s">
        <v>403</v>
      </c>
    </row>
    <row r="6" spans="1:10" x14ac:dyDescent="0.25">
      <c r="A6" t="s">
        <v>29</v>
      </c>
      <c r="B6" t="s">
        <v>403</v>
      </c>
      <c r="C6" t="s">
        <v>401</v>
      </c>
      <c r="D6" t="s">
        <v>401</v>
      </c>
      <c r="E6" t="s">
        <v>401</v>
      </c>
      <c r="F6" t="s">
        <v>401</v>
      </c>
      <c r="G6" t="s">
        <v>401</v>
      </c>
      <c r="H6" t="s">
        <v>401</v>
      </c>
      <c r="I6" t="s">
        <v>403</v>
      </c>
    </row>
    <row r="7" spans="1:10" x14ac:dyDescent="0.25">
      <c r="A7" t="s">
        <v>43</v>
      </c>
      <c r="B7" t="s">
        <v>403</v>
      </c>
      <c r="C7" t="s">
        <v>402</v>
      </c>
      <c r="D7" t="s">
        <v>401</v>
      </c>
      <c r="E7" t="s">
        <v>401</v>
      </c>
      <c r="F7" t="s">
        <v>403</v>
      </c>
      <c r="G7" t="s">
        <v>401</v>
      </c>
      <c r="H7" t="s">
        <v>403</v>
      </c>
      <c r="I7" t="s">
        <v>403</v>
      </c>
    </row>
    <row r="8" spans="1:10" x14ac:dyDescent="0.25">
      <c r="A8" t="s">
        <v>10</v>
      </c>
    </row>
    <row r="9" spans="1:10" x14ac:dyDescent="0.25">
      <c r="A9" t="s">
        <v>7</v>
      </c>
      <c r="B9" t="s">
        <v>403</v>
      </c>
      <c r="C9" t="s">
        <v>402</v>
      </c>
      <c r="D9" t="s">
        <v>403</v>
      </c>
      <c r="E9" t="s">
        <v>403</v>
      </c>
      <c r="F9" t="s">
        <v>403</v>
      </c>
      <c r="G9" t="s">
        <v>401</v>
      </c>
      <c r="H9" t="s">
        <v>403</v>
      </c>
      <c r="I9" t="s">
        <v>403</v>
      </c>
      <c r="J9" t="s">
        <v>413</v>
      </c>
    </row>
    <row r="10" spans="1:10" x14ac:dyDescent="0.25">
      <c r="A10" t="s">
        <v>32</v>
      </c>
      <c r="B10" t="s">
        <v>403</v>
      </c>
      <c r="C10" t="s">
        <v>402</v>
      </c>
      <c r="D10" t="s">
        <v>401</v>
      </c>
      <c r="E10" t="s">
        <v>401</v>
      </c>
      <c r="F10" t="s">
        <v>401</v>
      </c>
      <c r="G10" t="s">
        <v>403</v>
      </c>
      <c r="H10" t="s">
        <v>403</v>
      </c>
      <c r="J10" t="s">
        <v>415</v>
      </c>
    </row>
    <row r="11" spans="1:10" x14ac:dyDescent="0.25">
      <c r="A11" t="s">
        <v>151</v>
      </c>
    </row>
    <row r="12" spans="1:10" x14ac:dyDescent="0.25">
      <c r="A12" t="s">
        <v>0</v>
      </c>
      <c r="B12" t="s">
        <v>403</v>
      </c>
      <c r="C12" t="s">
        <v>403</v>
      </c>
      <c r="D12" t="s">
        <v>403</v>
      </c>
      <c r="E12" t="s">
        <v>403</v>
      </c>
      <c r="F12" t="s">
        <v>401</v>
      </c>
      <c r="G12" t="s">
        <v>403</v>
      </c>
      <c r="H12" t="s">
        <v>401</v>
      </c>
      <c r="I12" t="s">
        <v>401</v>
      </c>
      <c r="J12" t="s">
        <v>413</v>
      </c>
    </row>
    <row r="13" spans="1:10" x14ac:dyDescent="0.25">
      <c r="A13" t="s">
        <v>1</v>
      </c>
    </row>
    <row r="14" spans="1:10" x14ac:dyDescent="0.25">
      <c r="A14" t="s">
        <v>21</v>
      </c>
    </row>
    <row r="15" spans="1:10" x14ac:dyDescent="0.25">
      <c r="A15" t="s">
        <v>154</v>
      </c>
      <c r="B15" t="s">
        <v>403</v>
      </c>
      <c r="C15" t="s">
        <v>401</v>
      </c>
      <c r="D15" t="s">
        <v>401</v>
      </c>
      <c r="E15" t="s">
        <v>401</v>
      </c>
      <c r="F15" t="s">
        <v>403</v>
      </c>
      <c r="G15" t="s">
        <v>403</v>
      </c>
      <c r="H15" t="s">
        <v>401</v>
      </c>
      <c r="I15" t="s">
        <v>401</v>
      </c>
    </row>
    <row r="16" spans="1:10" x14ac:dyDescent="0.25">
      <c r="A16" t="s">
        <v>20</v>
      </c>
    </row>
    <row r="17" spans="1:10" x14ac:dyDescent="0.25">
      <c r="A17" t="s">
        <v>317</v>
      </c>
    </row>
    <row r="18" spans="1:10" x14ac:dyDescent="0.25">
      <c r="A18" t="s">
        <v>6</v>
      </c>
      <c r="B18" t="s">
        <v>403</v>
      </c>
      <c r="C18" t="s">
        <v>403</v>
      </c>
      <c r="D18" t="s">
        <v>403</v>
      </c>
      <c r="E18" t="s">
        <v>403</v>
      </c>
      <c r="F18" t="s">
        <v>403</v>
      </c>
      <c r="G18" t="s">
        <v>401</v>
      </c>
      <c r="H18" t="s">
        <v>403</v>
      </c>
      <c r="I18" t="s">
        <v>401</v>
      </c>
      <c r="J18" t="s">
        <v>413</v>
      </c>
    </row>
    <row r="19" spans="1:10" x14ac:dyDescent="0.25">
      <c r="A19" t="s">
        <v>316</v>
      </c>
    </row>
    <row r="20" spans="1:10" x14ac:dyDescent="0.25">
      <c r="A20" t="s">
        <v>4</v>
      </c>
    </row>
    <row r="21" spans="1:10" x14ac:dyDescent="0.25">
      <c r="A21" t="s">
        <v>167</v>
      </c>
    </row>
    <row r="22" spans="1:10" x14ac:dyDescent="0.25">
      <c r="A22" t="s">
        <v>3</v>
      </c>
    </row>
    <row r="23" spans="1:10" x14ac:dyDescent="0.25">
      <c r="A23" t="s">
        <v>34</v>
      </c>
    </row>
    <row r="24" spans="1:10" x14ac:dyDescent="0.25">
      <c r="A24" t="s">
        <v>152</v>
      </c>
    </row>
    <row r="25" spans="1:10" x14ac:dyDescent="0.25">
      <c r="A25" t="s">
        <v>30</v>
      </c>
    </row>
    <row r="26" spans="1:10" x14ac:dyDescent="0.25">
      <c r="A26" t="s">
        <v>12</v>
      </c>
    </row>
    <row r="27" spans="1:10" x14ac:dyDescent="0.25">
      <c r="A27" t="s">
        <v>42</v>
      </c>
    </row>
    <row r="28" spans="1:10" x14ac:dyDescent="0.25">
      <c r="A28" t="s">
        <v>11</v>
      </c>
    </row>
    <row r="29" spans="1:10" x14ac:dyDescent="0.25">
      <c r="A29" t="s">
        <v>17</v>
      </c>
    </row>
    <row r="30" spans="1:10" x14ac:dyDescent="0.25">
      <c r="A30" t="s">
        <v>49</v>
      </c>
    </row>
    <row r="31" spans="1:10" x14ac:dyDescent="0.25">
      <c r="A31" t="s">
        <v>35</v>
      </c>
    </row>
    <row r="32" spans="1:10" x14ac:dyDescent="0.25">
      <c r="A32" t="s">
        <v>16</v>
      </c>
      <c r="J32" t="s">
        <v>418</v>
      </c>
    </row>
    <row r="33" spans="1:10" x14ac:dyDescent="0.25">
      <c r="A33" t="s">
        <v>2</v>
      </c>
      <c r="J33" t="s">
        <v>417</v>
      </c>
    </row>
    <row r="34" spans="1:10" ht="15.75" x14ac:dyDescent="0.25">
      <c r="A34" t="s">
        <v>8</v>
      </c>
      <c r="B34" s="2"/>
      <c r="C34" s="2"/>
      <c r="D34" s="12"/>
      <c r="E34" s="9"/>
    </row>
    <row r="35" spans="1:10" ht="15.75" x14ac:dyDescent="0.25">
      <c r="A35" t="s">
        <v>15</v>
      </c>
      <c r="B35" s="2"/>
      <c r="C35" s="2"/>
      <c r="D35" s="2"/>
      <c r="E35" s="9"/>
    </row>
    <row r="36" spans="1:10" x14ac:dyDescent="0.25">
      <c r="A36" t="s">
        <v>19</v>
      </c>
    </row>
    <row r="37" spans="1:10" x14ac:dyDescent="0.25">
      <c r="A37" t="s">
        <v>33</v>
      </c>
    </row>
    <row r="38" spans="1:10" x14ac:dyDescent="0.25">
      <c r="A38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7FB6-7343-4638-AF8E-E7E38DF71621}">
  <dimension ref="A1:E49"/>
  <sheetViews>
    <sheetView topLeftCell="A13" workbookViewId="0">
      <selection activeCell="E55" sqref="E55"/>
    </sheetView>
  </sheetViews>
  <sheetFormatPr defaultRowHeight="15" x14ac:dyDescent="0.25"/>
  <cols>
    <col min="1" max="1" width="14" bestFit="1" customWidth="1"/>
    <col min="2" max="2" width="5" bestFit="1" customWidth="1"/>
    <col min="5" max="5" width="10" bestFit="1" customWidth="1"/>
    <col min="10" max="10" width="10" bestFit="1" customWidth="1"/>
  </cols>
  <sheetData>
    <row r="1" spans="1:5" x14ac:dyDescent="0.25">
      <c r="A1" t="s">
        <v>147</v>
      </c>
      <c r="B1" t="s">
        <v>148</v>
      </c>
      <c r="C1" t="s">
        <v>149</v>
      </c>
      <c r="D1" t="s">
        <v>313</v>
      </c>
      <c r="E1" t="s">
        <v>150</v>
      </c>
    </row>
    <row r="2" spans="1:5" x14ac:dyDescent="0.25">
      <c r="A2" t="s">
        <v>13</v>
      </c>
      <c r="B2">
        <v>300</v>
      </c>
      <c r="C2">
        <v>392.57</v>
      </c>
      <c r="D2">
        <v>323.45</v>
      </c>
      <c r="E2">
        <v>117769.7</v>
      </c>
    </row>
    <row r="3" spans="1:5" x14ac:dyDescent="0.25">
      <c r="A3" t="s">
        <v>14</v>
      </c>
      <c r="B3">
        <v>20</v>
      </c>
      <c r="C3">
        <v>593.72</v>
      </c>
      <c r="D3">
        <v>182.1</v>
      </c>
      <c r="E3">
        <v>11874.35</v>
      </c>
    </row>
    <row r="4" spans="1:5" x14ac:dyDescent="0.25">
      <c r="A4" t="s">
        <v>43</v>
      </c>
      <c r="B4">
        <v>35</v>
      </c>
      <c r="C4">
        <v>861.34</v>
      </c>
      <c r="D4">
        <v>632</v>
      </c>
      <c r="E4">
        <v>30146.75</v>
      </c>
    </row>
    <row r="5" spans="1:5" x14ac:dyDescent="0.25">
      <c r="A5" t="s">
        <v>153</v>
      </c>
      <c r="B5">
        <v>100</v>
      </c>
      <c r="C5">
        <v>583.25</v>
      </c>
      <c r="D5">
        <v>503.25</v>
      </c>
      <c r="E5">
        <v>58325</v>
      </c>
    </row>
    <row r="6" spans="1:5" x14ac:dyDescent="0.25">
      <c r="A6" t="s">
        <v>29</v>
      </c>
      <c r="B6">
        <v>50</v>
      </c>
      <c r="C6">
        <v>460.52</v>
      </c>
      <c r="D6">
        <v>309</v>
      </c>
      <c r="E6">
        <v>23026</v>
      </c>
    </row>
    <row r="7" spans="1:5" x14ac:dyDescent="0.25">
      <c r="A7" t="s">
        <v>22</v>
      </c>
      <c r="B7">
        <v>120</v>
      </c>
      <c r="C7">
        <v>829.13</v>
      </c>
      <c r="D7">
        <v>770.75</v>
      </c>
      <c r="E7">
        <v>99495.1</v>
      </c>
    </row>
    <row r="8" spans="1:5" x14ac:dyDescent="0.25">
      <c r="A8" t="s">
        <v>7</v>
      </c>
      <c r="B8">
        <v>30</v>
      </c>
      <c r="C8">
        <v>1506.07</v>
      </c>
      <c r="D8">
        <v>1285.1500000000001</v>
      </c>
      <c r="E8">
        <v>45182</v>
      </c>
    </row>
    <row r="9" spans="1:5" x14ac:dyDescent="0.25">
      <c r="A9" t="s">
        <v>151</v>
      </c>
      <c r="B9">
        <v>500</v>
      </c>
      <c r="C9">
        <v>45.11</v>
      </c>
      <c r="D9">
        <v>31.95</v>
      </c>
      <c r="E9">
        <v>22552.78</v>
      </c>
    </row>
    <row r="10" spans="1:5" x14ac:dyDescent="0.25">
      <c r="A10" t="s">
        <v>5</v>
      </c>
      <c r="B10">
        <v>1500</v>
      </c>
      <c r="C10">
        <v>59.59</v>
      </c>
      <c r="D10">
        <v>55.44</v>
      </c>
      <c r="E10">
        <v>89391.3</v>
      </c>
    </row>
    <row r="11" spans="1:5" x14ac:dyDescent="0.25">
      <c r="A11" t="s">
        <v>32</v>
      </c>
      <c r="B11">
        <v>20</v>
      </c>
      <c r="C11">
        <v>3452.85</v>
      </c>
      <c r="D11">
        <v>3160.85</v>
      </c>
      <c r="E11">
        <v>69057</v>
      </c>
    </row>
    <row r="12" spans="1:5" x14ac:dyDescent="0.25">
      <c r="A12" t="s">
        <v>154</v>
      </c>
      <c r="B12">
        <v>50</v>
      </c>
      <c r="C12">
        <v>665.5</v>
      </c>
      <c r="D12">
        <v>551</v>
      </c>
      <c r="E12">
        <v>33275</v>
      </c>
    </row>
    <row r="13" spans="1:5" x14ac:dyDescent="0.25">
      <c r="A13" t="s">
        <v>1</v>
      </c>
      <c r="B13">
        <v>100</v>
      </c>
      <c r="C13">
        <v>205.3</v>
      </c>
      <c r="D13">
        <v>149.35</v>
      </c>
      <c r="E13">
        <v>20530.3</v>
      </c>
    </row>
    <row r="14" spans="1:5" x14ac:dyDescent="0.25">
      <c r="A14" t="s">
        <v>21</v>
      </c>
      <c r="B14">
        <v>10</v>
      </c>
      <c r="C14">
        <v>1396.05</v>
      </c>
      <c r="D14">
        <v>927.1</v>
      </c>
      <c r="E14">
        <v>13960.5</v>
      </c>
    </row>
    <row r="15" spans="1:5" x14ac:dyDescent="0.25">
      <c r="A15" t="s">
        <v>20</v>
      </c>
      <c r="B15">
        <v>70</v>
      </c>
      <c r="C15">
        <v>876.03</v>
      </c>
      <c r="D15">
        <v>812</v>
      </c>
      <c r="E15">
        <v>61321.95</v>
      </c>
    </row>
    <row r="16" spans="1:5" x14ac:dyDescent="0.25">
      <c r="A16" t="s">
        <v>10</v>
      </c>
      <c r="B16">
        <v>90</v>
      </c>
      <c r="C16">
        <v>2446.4699999999998</v>
      </c>
      <c r="D16">
        <v>2406</v>
      </c>
      <c r="E16">
        <v>220182.45</v>
      </c>
    </row>
    <row r="17" spans="1:5" x14ac:dyDescent="0.25">
      <c r="A17" t="s">
        <v>6</v>
      </c>
      <c r="B17">
        <v>4</v>
      </c>
      <c r="C17">
        <v>2339.96</v>
      </c>
      <c r="D17">
        <v>1688</v>
      </c>
      <c r="E17">
        <v>9359.85</v>
      </c>
    </row>
    <row r="18" spans="1:5" x14ac:dyDescent="0.25">
      <c r="A18" t="s">
        <v>167</v>
      </c>
      <c r="B18">
        <v>200</v>
      </c>
      <c r="C18">
        <v>105.54</v>
      </c>
      <c r="D18">
        <v>95.15</v>
      </c>
      <c r="E18">
        <v>21108</v>
      </c>
    </row>
    <row r="19" spans="1:5" x14ac:dyDescent="0.25">
      <c r="A19" t="s">
        <v>47</v>
      </c>
      <c r="B19">
        <v>200</v>
      </c>
      <c r="C19">
        <v>138.77000000000001</v>
      </c>
      <c r="D19">
        <v>128.43</v>
      </c>
      <c r="E19">
        <v>27753.41</v>
      </c>
    </row>
    <row r="20" spans="1:5" x14ac:dyDescent="0.25">
      <c r="A20" t="s">
        <v>30</v>
      </c>
      <c r="B20">
        <v>125</v>
      </c>
      <c r="C20">
        <v>359.4</v>
      </c>
      <c r="D20">
        <v>345.7</v>
      </c>
      <c r="E20">
        <v>44925.5</v>
      </c>
    </row>
    <row r="21" spans="1:5" x14ac:dyDescent="0.25">
      <c r="A21" t="s">
        <v>4</v>
      </c>
      <c r="B21">
        <v>150</v>
      </c>
      <c r="C21">
        <v>81.27</v>
      </c>
      <c r="D21">
        <v>71.010000000000005</v>
      </c>
      <c r="E21">
        <v>12190.5</v>
      </c>
    </row>
    <row r="22" spans="1:5" x14ac:dyDescent="0.25">
      <c r="A22" t="s">
        <v>317</v>
      </c>
      <c r="B22">
        <v>35</v>
      </c>
      <c r="C22">
        <v>1037.8</v>
      </c>
      <c r="D22">
        <v>994.15</v>
      </c>
      <c r="E22">
        <v>36323</v>
      </c>
    </row>
    <row r="23" spans="1:5" x14ac:dyDescent="0.25">
      <c r="A23" t="s">
        <v>316</v>
      </c>
      <c r="B23">
        <v>15</v>
      </c>
      <c r="C23">
        <v>2326.6999999999998</v>
      </c>
      <c r="D23">
        <v>2264.1</v>
      </c>
      <c r="E23">
        <v>34900.5</v>
      </c>
    </row>
    <row r="24" spans="1:5" x14ac:dyDescent="0.25">
      <c r="A24" t="s">
        <v>3</v>
      </c>
      <c r="B24">
        <v>30</v>
      </c>
      <c r="C24">
        <v>1357.2</v>
      </c>
      <c r="D24">
        <v>1326.6</v>
      </c>
      <c r="E24">
        <v>40716</v>
      </c>
    </row>
    <row r="25" spans="1:5" x14ac:dyDescent="0.25">
      <c r="A25" t="s">
        <v>0</v>
      </c>
      <c r="B25">
        <v>20</v>
      </c>
      <c r="C25">
        <v>2727.3</v>
      </c>
      <c r="D25">
        <v>2704.4</v>
      </c>
      <c r="E25">
        <v>54546</v>
      </c>
    </row>
    <row r="26" spans="1:5" x14ac:dyDescent="0.25">
      <c r="A26" t="s">
        <v>34</v>
      </c>
      <c r="B26">
        <v>100</v>
      </c>
      <c r="C26">
        <v>477.06</v>
      </c>
      <c r="D26">
        <v>473.7</v>
      </c>
      <c r="E26">
        <v>47706.2</v>
      </c>
    </row>
    <row r="27" spans="1:5" x14ac:dyDescent="0.25">
      <c r="A27" t="s">
        <v>152</v>
      </c>
      <c r="B27">
        <v>5</v>
      </c>
      <c r="C27">
        <v>1792.73</v>
      </c>
      <c r="D27">
        <v>1796</v>
      </c>
      <c r="E27">
        <v>8963.65</v>
      </c>
    </row>
    <row r="28" spans="1:5" x14ac:dyDescent="0.25">
      <c r="A28" t="s">
        <v>42</v>
      </c>
      <c r="B28">
        <v>40</v>
      </c>
      <c r="C28">
        <v>1332.4</v>
      </c>
      <c r="D28">
        <v>1337.1</v>
      </c>
      <c r="E28">
        <v>53296</v>
      </c>
    </row>
    <row r="29" spans="1:5" x14ac:dyDescent="0.25">
      <c r="A29" t="s">
        <v>17</v>
      </c>
      <c r="B29">
        <v>400</v>
      </c>
      <c r="C29">
        <v>75.599999999999994</v>
      </c>
      <c r="D29">
        <v>76.400000000000006</v>
      </c>
      <c r="E29">
        <v>30240</v>
      </c>
    </row>
    <row r="30" spans="1:5" x14ac:dyDescent="0.25">
      <c r="A30" t="s">
        <v>11</v>
      </c>
      <c r="B30">
        <v>200</v>
      </c>
      <c r="C30">
        <v>76.900000000000006</v>
      </c>
      <c r="D30">
        <v>82.83</v>
      </c>
      <c r="E30">
        <v>15379.32</v>
      </c>
    </row>
    <row r="31" spans="1:5" x14ac:dyDescent="0.25">
      <c r="A31" t="s">
        <v>12</v>
      </c>
      <c r="B31">
        <v>18</v>
      </c>
      <c r="C31">
        <v>1585.4</v>
      </c>
      <c r="D31">
        <v>1672</v>
      </c>
      <c r="E31">
        <v>28537.200000000001</v>
      </c>
    </row>
    <row r="32" spans="1:5" x14ac:dyDescent="0.25">
      <c r="A32" t="s">
        <v>49</v>
      </c>
      <c r="B32">
        <v>20</v>
      </c>
      <c r="C32">
        <v>31.57</v>
      </c>
      <c r="D32">
        <v>151.4</v>
      </c>
      <c r="E32">
        <v>631.35</v>
      </c>
    </row>
    <row r="33" spans="1:5" x14ac:dyDescent="0.25">
      <c r="A33" t="s">
        <v>35</v>
      </c>
      <c r="B33">
        <v>50</v>
      </c>
      <c r="C33">
        <v>1265.25</v>
      </c>
      <c r="D33">
        <v>1315.4</v>
      </c>
      <c r="E33">
        <v>63262.7</v>
      </c>
    </row>
    <row r="34" spans="1:5" x14ac:dyDescent="0.25">
      <c r="A34" t="s">
        <v>16</v>
      </c>
      <c r="B34">
        <v>300</v>
      </c>
      <c r="C34">
        <v>98.64</v>
      </c>
      <c r="D34">
        <v>108.4</v>
      </c>
      <c r="E34">
        <v>29592</v>
      </c>
    </row>
    <row r="35" spans="1:5" x14ac:dyDescent="0.25">
      <c r="A35" t="s">
        <v>27</v>
      </c>
      <c r="B35">
        <v>100</v>
      </c>
      <c r="C35">
        <v>677.92</v>
      </c>
      <c r="D35">
        <v>717</v>
      </c>
      <c r="E35">
        <v>67792.36</v>
      </c>
    </row>
    <row r="36" spans="1:5" x14ac:dyDescent="0.25">
      <c r="A36" t="s">
        <v>23</v>
      </c>
      <c r="B36">
        <v>200</v>
      </c>
      <c r="C36">
        <v>401.05</v>
      </c>
      <c r="D36">
        <v>422.11</v>
      </c>
      <c r="E36">
        <v>80210.5</v>
      </c>
    </row>
    <row r="37" spans="1:5" x14ac:dyDescent="0.25">
      <c r="A37" t="s">
        <v>8</v>
      </c>
      <c r="B37">
        <v>100</v>
      </c>
      <c r="C37">
        <v>665.47</v>
      </c>
      <c r="D37">
        <v>711.8</v>
      </c>
      <c r="E37">
        <v>66547.399999999994</v>
      </c>
    </row>
    <row r="38" spans="1:5" x14ac:dyDescent="0.25">
      <c r="A38" t="s">
        <v>2</v>
      </c>
      <c r="B38">
        <v>200</v>
      </c>
      <c r="C38">
        <v>339.58</v>
      </c>
      <c r="D38">
        <v>367.25</v>
      </c>
      <c r="E38">
        <v>67916.800000000003</v>
      </c>
    </row>
    <row r="39" spans="1:5" x14ac:dyDescent="0.25">
      <c r="A39" t="s">
        <v>26</v>
      </c>
      <c r="B39">
        <v>300</v>
      </c>
      <c r="C39">
        <v>246.14</v>
      </c>
      <c r="D39">
        <v>269.3</v>
      </c>
      <c r="E39">
        <v>73841.78</v>
      </c>
    </row>
    <row r="40" spans="1:5" x14ac:dyDescent="0.25">
      <c r="A40" t="s">
        <v>19</v>
      </c>
      <c r="B40">
        <v>500</v>
      </c>
      <c r="C40">
        <v>99.56</v>
      </c>
      <c r="D40">
        <v>120.14</v>
      </c>
      <c r="E40">
        <v>49782.1</v>
      </c>
    </row>
    <row r="41" spans="1:5" x14ac:dyDescent="0.25">
      <c r="A41" t="s">
        <v>15</v>
      </c>
      <c r="B41">
        <v>150</v>
      </c>
      <c r="C41">
        <v>352.72</v>
      </c>
      <c r="D41">
        <v>424.2</v>
      </c>
      <c r="E41">
        <v>52908.65</v>
      </c>
    </row>
    <row r="42" spans="1:5" x14ac:dyDescent="0.25">
      <c r="A42" t="s">
        <v>33</v>
      </c>
      <c r="B42">
        <v>800</v>
      </c>
      <c r="C42">
        <v>43.15</v>
      </c>
      <c r="D42">
        <v>63.08</v>
      </c>
      <c r="E42">
        <v>34523.1</v>
      </c>
    </row>
    <row r="43" spans="1:5" x14ac:dyDescent="0.25">
      <c r="A43" t="s">
        <v>24</v>
      </c>
      <c r="B43">
        <v>100</v>
      </c>
      <c r="C43">
        <v>799.61</v>
      </c>
      <c r="D43">
        <v>1028.4000000000001</v>
      </c>
      <c r="E43">
        <v>79961.25</v>
      </c>
    </row>
    <row r="44" spans="1:5" x14ac:dyDescent="0.25">
      <c r="A44" t="s">
        <v>45</v>
      </c>
      <c r="B44">
        <v>1000</v>
      </c>
      <c r="C44">
        <v>108.97</v>
      </c>
      <c r="D44">
        <v>132.54</v>
      </c>
      <c r="E44">
        <v>108970</v>
      </c>
    </row>
    <row r="45" spans="1:5" x14ac:dyDescent="0.25">
      <c r="A45" t="s">
        <v>44</v>
      </c>
      <c r="B45">
        <v>530</v>
      </c>
      <c r="C45">
        <v>177.31</v>
      </c>
      <c r="D45">
        <v>302.5</v>
      </c>
      <c r="E45">
        <v>93972.18</v>
      </c>
    </row>
    <row r="46" spans="1:5" x14ac:dyDescent="0.25">
      <c r="A46" t="s">
        <v>9</v>
      </c>
      <c r="B46">
        <v>500</v>
      </c>
      <c r="C46">
        <v>142.68</v>
      </c>
      <c r="D46">
        <v>295.3</v>
      </c>
      <c r="E46">
        <v>71338.759999999995</v>
      </c>
    </row>
    <row r="47" spans="1:5" x14ac:dyDescent="0.25">
      <c r="A47" t="s">
        <v>144</v>
      </c>
      <c r="B47">
        <v>16</v>
      </c>
      <c r="C47">
        <v>6213</v>
      </c>
      <c r="D47">
        <v>19589</v>
      </c>
      <c r="E47">
        <v>99408</v>
      </c>
    </row>
    <row r="48" spans="1:5" x14ac:dyDescent="0.25">
      <c r="A48" t="s">
        <v>25</v>
      </c>
      <c r="B48">
        <v>7500</v>
      </c>
      <c r="C48">
        <v>75.2</v>
      </c>
      <c r="D48">
        <v>131.74</v>
      </c>
      <c r="E48">
        <v>564019.43999999994</v>
      </c>
    </row>
    <row r="49" spans="1:5" x14ac:dyDescent="0.25">
      <c r="A49" t="s">
        <v>46</v>
      </c>
      <c r="B49">
        <v>500</v>
      </c>
      <c r="C49">
        <v>99.79</v>
      </c>
      <c r="D49">
        <v>127.49</v>
      </c>
      <c r="E49">
        <v>49893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BAA7-6A46-4F5E-969A-545287665DA9}">
  <dimension ref="A1:G7"/>
  <sheetViews>
    <sheetView workbookViewId="0">
      <selection activeCell="G13" sqref="G13"/>
    </sheetView>
  </sheetViews>
  <sheetFormatPr defaultRowHeight="15" x14ac:dyDescent="0.25"/>
  <cols>
    <col min="1" max="1" width="14.28515625" bestFit="1" customWidth="1"/>
    <col min="2" max="2" width="10.28515625" bestFit="1" customWidth="1"/>
    <col min="3" max="3" width="15.7109375" bestFit="1" customWidth="1"/>
    <col min="4" max="4" width="18.42578125" bestFit="1" customWidth="1"/>
    <col min="5" max="5" width="14.7109375" bestFit="1" customWidth="1"/>
  </cols>
  <sheetData>
    <row r="1" spans="1:7" x14ac:dyDescent="0.25">
      <c r="A1" t="s">
        <v>147</v>
      </c>
      <c r="B1" t="s">
        <v>148</v>
      </c>
      <c r="C1" t="s">
        <v>149</v>
      </c>
      <c r="D1" t="s">
        <v>313</v>
      </c>
      <c r="E1" t="s">
        <v>150</v>
      </c>
      <c r="F1" t="s">
        <v>314</v>
      </c>
      <c r="G1" t="s">
        <v>315</v>
      </c>
    </row>
    <row r="2" spans="1:7" x14ac:dyDescent="0.25">
      <c r="A2" t="s">
        <v>25</v>
      </c>
      <c r="B2">
        <v>7500</v>
      </c>
      <c r="C2">
        <v>75.2</v>
      </c>
      <c r="D2">
        <v>132.71</v>
      </c>
      <c r="E2">
        <v>564019.43999999994</v>
      </c>
      <c r="F2">
        <v>995325</v>
      </c>
      <c r="G2">
        <v>431305.56</v>
      </c>
    </row>
    <row r="3" spans="1:7" x14ac:dyDescent="0.25">
      <c r="A3" t="s">
        <v>28</v>
      </c>
      <c r="B3">
        <v>16</v>
      </c>
      <c r="C3">
        <v>6213</v>
      </c>
      <c r="D3">
        <v>17954.169999999998</v>
      </c>
      <c r="E3">
        <v>99408</v>
      </c>
      <c r="F3">
        <v>287266.71999999997</v>
      </c>
      <c r="G3">
        <v>187858.72</v>
      </c>
    </row>
    <row r="4" spans="1:7" x14ac:dyDescent="0.25">
      <c r="A4" t="s">
        <v>45</v>
      </c>
      <c r="B4">
        <v>1000</v>
      </c>
      <c r="C4">
        <v>108.97</v>
      </c>
      <c r="D4">
        <v>133.52000000000001</v>
      </c>
      <c r="E4">
        <v>108970</v>
      </c>
      <c r="F4">
        <v>133520</v>
      </c>
      <c r="G4">
        <v>24550</v>
      </c>
    </row>
    <row r="5" spans="1:7" x14ac:dyDescent="0.25">
      <c r="A5" t="s">
        <v>46</v>
      </c>
      <c r="B5">
        <v>700</v>
      </c>
      <c r="C5">
        <v>105.7</v>
      </c>
      <c r="D5">
        <v>128.69999999999999</v>
      </c>
      <c r="E5">
        <v>73993</v>
      </c>
      <c r="F5">
        <v>90090</v>
      </c>
      <c r="G5">
        <v>16097</v>
      </c>
    </row>
    <row r="6" spans="1:7" x14ac:dyDescent="0.25">
      <c r="A6" t="s">
        <v>9</v>
      </c>
      <c r="B6">
        <v>1100</v>
      </c>
      <c r="C6">
        <v>236.44</v>
      </c>
      <c r="D6">
        <v>247</v>
      </c>
      <c r="E6">
        <v>260082.56</v>
      </c>
      <c r="F6">
        <v>271700</v>
      </c>
      <c r="G6">
        <v>11617.44</v>
      </c>
    </row>
    <row r="7" spans="1:7" x14ac:dyDescent="0.25">
      <c r="A7" t="s">
        <v>414</v>
      </c>
      <c r="B7">
        <v>100</v>
      </c>
      <c r="C7">
        <v>23.48</v>
      </c>
      <c r="D7">
        <v>25</v>
      </c>
      <c r="E7">
        <v>2348</v>
      </c>
      <c r="F7">
        <v>2500</v>
      </c>
      <c r="G7">
        <v>152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0E13-5D19-484C-8122-D5DFA7299F88}">
  <dimension ref="A1:H29"/>
  <sheetViews>
    <sheetView topLeftCell="A22" workbookViewId="0">
      <selection activeCell="C28" sqref="C28"/>
    </sheetView>
  </sheetViews>
  <sheetFormatPr defaultRowHeight="15.75" x14ac:dyDescent="0.25"/>
  <cols>
    <col min="1" max="1" width="11" style="2" bestFit="1" customWidth="1"/>
    <col min="2" max="2" width="23.7109375" style="2" bestFit="1" customWidth="1"/>
    <col min="3" max="3" width="13.42578125" style="2" bestFit="1" customWidth="1"/>
    <col min="6" max="6" width="3.85546875" bestFit="1" customWidth="1"/>
    <col min="7" max="7" width="9.7109375" bestFit="1" customWidth="1"/>
    <col min="8" max="8" width="11" bestFit="1" customWidth="1"/>
  </cols>
  <sheetData>
    <row r="1" spans="1:3" x14ac:dyDescent="0.25">
      <c r="A1" s="14" t="s">
        <v>50</v>
      </c>
      <c r="B1" s="14" t="s">
        <v>51</v>
      </c>
      <c r="C1" s="14" t="s">
        <v>52</v>
      </c>
    </row>
    <row r="2" spans="1:3" ht="47.25" x14ac:dyDescent="0.25">
      <c r="A2" s="2" t="s">
        <v>53</v>
      </c>
      <c r="B2" s="17" t="s">
        <v>54</v>
      </c>
      <c r="C2" s="2">
        <v>18952</v>
      </c>
    </row>
    <row r="3" spans="1:3" x14ac:dyDescent="0.25">
      <c r="A3" s="2" t="s">
        <v>55</v>
      </c>
      <c r="B3" s="2" t="s">
        <v>10</v>
      </c>
      <c r="C3" s="2">
        <v>24929.5</v>
      </c>
    </row>
    <row r="4" spans="1:3" ht="47.25" x14ac:dyDescent="0.25">
      <c r="A4" s="2" t="s">
        <v>56</v>
      </c>
      <c r="B4" s="17" t="s">
        <v>57</v>
      </c>
      <c r="C4" s="2">
        <v>20734.099999999999</v>
      </c>
    </row>
    <row r="5" spans="1:3" ht="47.25" x14ac:dyDescent="0.25">
      <c r="A5" s="2" t="s">
        <v>58</v>
      </c>
      <c r="B5" s="17" t="s">
        <v>59</v>
      </c>
      <c r="C5" s="2">
        <v>39459.31</v>
      </c>
    </row>
    <row r="6" spans="1:3" ht="31.5" x14ac:dyDescent="0.25">
      <c r="A6" s="2" t="s">
        <v>60</v>
      </c>
      <c r="B6" s="17" t="s">
        <v>61</v>
      </c>
      <c r="C6" s="2">
        <v>41072.22</v>
      </c>
    </row>
    <row r="7" spans="1:3" ht="47.25" x14ac:dyDescent="0.25">
      <c r="A7" s="2" t="s">
        <v>62</v>
      </c>
      <c r="B7" s="17" t="s">
        <v>63</v>
      </c>
      <c r="C7" s="2">
        <v>111854.62</v>
      </c>
    </row>
    <row r="8" spans="1:3" ht="63" x14ac:dyDescent="0.25">
      <c r="A8" s="2" t="s">
        <v>64</v>
      </c>
      <c r="B8" s="17" t="s">
        <v>65</v>
      </c>
      <c r="C8" s="2">
        <v>87828.459999999992</v>
      </c>
    </row>
    <row r="9" spans="1:3" x14ac:dyDescent="0.25">
      <c r="A9" s="2" t="s">
        <v>66</v>
      </c>
      <c r="B9" s="2" t="s">
        <v>15</v>
      </c>
      <c r="C9" s="2">
        <v>21196.5</v>
      </c>
    </row>
    <row r="10" spans="1:3" ht="47.25" x14ac:dyDescent="0.25">
      <c r="A10" s="2" t="s">
        <v>67</v>
      </c>
      <c r="B10" s="17" t="s">
        <v>68</v>
      </c>
      <c r="C10" s="2">
        <v>87519.77</v>
      </c>
    </row>
    <row r="11" spans="1:3" ht="78.75" x14ac:dyDescent="0.25">
      <c r="A11" s="2" t="s">
        <v>69</v>
      </c>
      <c r="B11" s="17" t="s">
        <v>70</v>
      </c>
      <c r="C11" s="2">
        <v>118560</v>
      </c>
    </row>
    <row r="12" spans="1:3" ht="47.25" x14ac:dyDescent="0.25">
      <c r="A12" s="2" t="s">
        <v>71</v>
      </c>
      <c r="B12" s="17" t="s">
        <v>72</v>
      </c>
      <c r="C12" s="2">
        <v>155426.76999999999</v>
      </c>
    </row>
    <row r="13" spans="1:3" ht="78.75" x14ac:dyDescent="0.25">
      <c r="A13" s="2" t="s">
        <v>73</v>
      </c>
      <c r="B13" s="17" t="s">
        <v>74</v>
      </c>
      <c r="C13" s="2">
        <v>57976.32</v>
      </c>
    </row>
    <row r="14" spans="1:3" ht="78.75" x14ac:dyDescent="0.25">
      <c r="A14" s="2" t="s">
        <v>75</v>
      </c>
      <c r="B14" s="17" t="s">
        <v>76</v>
      </c>
      <c r="C14" s="2">
        <v>127761</v>
      </c>
    </row>
    <row r="15" spans="1:3" ht="31.5" x14ac:dyDescent="0.25">
      <c r="A15" s="2" t="s">
        <v>77</v>
      </c>
      <c r="B15" s="17" t="s">
        <v>78</v>
      </c>
      <c r="C15" s="2">
        <v>175257</v>
      </c>
    </row>
    <row r="16" spans="1:3" ht="31.5" x14ac:dyDescent="0.25">
      <c r="A16" s="2" t="s">
        <v>79</v>
      </c>
      <c r="B16" s="17" t="s">
        <v>80</v>
      </c>
      <c r="C16" s="2">
        <v>36017.800000000003</v>
      </c>
    </row>
    <row r="17" spans="1:8" ht="141.75" x14ac:dyDescent="0.25">
      <c r="A17" s="2" t="s">
        <v>81</v>
      </c>
      <c r="B17" s="17" t="s">
        <v>82</v>
      </c>
      <c r="C17" s="2">
        <v>167856.92</v>
      </c>
    </row>
    <row r="18" spans="1:8" ht="47.25" x14ac:dyDescent="0.25">
      <c r="A18" s="2" t="s">
        <v>83</v>
      </c>
      <c r="B18" s="17" t="s">
        <v>84</v>
      </c>
      <c r="C18" s="2">
        <v>56037.8</v>
      </c>
    </row>
    <row r="19" spans="1:8" ht="63" x14ac:dyDescent="0.25">
      <c r="A19" s="2" t="s">
        <v>85</v>
      </c>
      <c r="B19" s="17" t="s">
        <v>86</v>
      </c>
      <c r="C19" s="2">
        <v>98232.6</v>
      </c>
    </row>
    <row r="20" spans="1:8" x14ac:dyDescent="0.25">
      <c r="A20" s="2" t="s">
        <v>87</v>
      </c>
      <c r="B20" s="2" t="s">
        <v>25</v>
      </c>
      <c r="C20" s="2">
        <v>59034.33</v>
      </c>
    </row>
    <row r="21" spans="1:8" ht="31.5" x14ac:dyDescent="0.25">
      <c r="A21" s="2" t="s">
        <v>88</v>
      </c>
      <c r="B21" s="17" t="s">
        <v>89</v>
      </c>
      <c r="C21" s="2">
        <v>110342</v>
      </c>
    </row>
    <row r="22" spans="1:8" ht="110.25" x14ac:dyDescent="0.25">
      <c r="A22" s="2" t="s">
        <v>90</v>
      </c>
      <c r="B22" s="17" t="s">
        <v>91</v>
      </c>
      <c r="C22" s="2">
        <v>303581</v>
      </c>
    </row>
    <row r="23" spans="1:8" ht="47.25" x14ac:dyDescent="0.25">
      <c r="A23" s="2" t="s">
        <v>92</v>
      </c>
      <c r="B23" s="17" t="s">
        <v>93</v>
      </c>
      <c r="C23" s="2">
        <v>100934</v>
      </c>
    </row>
    <row r="24" spans="1:8" ht="63" x14ac:dyDescent="0.25">
      <c r="A24" s="2" t="s">
        <v>94</v>
      </c>
      <c r="B24" s="17" t="s">
        <v>95</v>
      </c>
      <c r="C24" s="2">
        <v>44196</v>
      </c>
    </row>
    <row r="25" spans="1:8" ht="267.75" x14ac:dyDescent="0.25">
      <c r="A25" s="2" t="s">
        <v>96</v>
      </c>
      <c r="B25" s="17" t="s">
        <v>97</v>
      </c>
      <c r="C25" s="2">
        <v>324521.95</v>
      </c>
    </row>
    <row r="26" spans="1:8" ht="157.5" x14ac:dyDescent="0.25">
      <c r="A26" s="2" t="s">
        <v>98</v>
      </c>
      <c r="B26" s="17" t="s">
        <v>99</v>
      </c>
      <c r="C26" s="2">
        <v>360648.1</v>
      </c>
    </row>
    <row r="27" spans="1:8" ht="63" x14ac:dyDescent="0.25">
      <c r="A27" s="2" t="s">
        <v>100</v>
      </c>
      <c r="B27" s="17" t="s">
        <v>105</v>
      </c>
      <c r="C27" s="2">
        <v>93133</v>
      </c>
    </row>
    <row r="28" spans="1:8" ht="63" x14ac:dyDescent="0.25">
      <c r="A28" s="33" t="s">
        <v>145</v>
      </c>
      <c r="B28" s="17" t="s">
        <v>146</v>
      </c>
      <c r="C28" s="2">
        <v>56294</v>
      </c>
    </row>
    <row r="29" spans="1:8" x14ac:dyDescent="0.25">
      <c r="A29" s="32"/>
      <c r="E29" s="2"/>
      <c r="F29" s="2"/>
      <c r="G29" s="12"/>
      <c r="H29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1BF0-43B4-4F5A-8863-9FB8145C4A50}">
  <dimension ref="A1:C5"/>
  <sheetViews>
    <sheetView topLeftCell="A4" workbookViewId="0">
      <selection activeCell="C4" sqref="C4"/>
    </sheetView>
  </sheetViews>
  <sheetFormatPr defaultRowHeight="15" x14ac:dyDescent="0.25"/>
  <cols>
    <col min="1" max="1" width="10.85546875" bestFit="1" customWidth="1"/>
    <col min="2" max="2" width="23.7109375" bestFit="1" customWidth="1"/>
    <col min="3" max="3" width="13.42578125" bestFit="1" customWidth="1"/>
  </cols>
  <sheetData>
    <row r="1" spans="1:3" ht="15.75" x14ac:dyDescent="0.25">
      <c r="A1" s="14" t="s">
        <v>101</v>
      </c>
      <c r="B1" s="14" t="s">
        <v>51</v>
      </c>
      <c r="C1" s="14" t="s">
        <v>52</v>
      </c>
    </row>
    <row r="2" spans="1:3" ht="78.75" x14ac:dyDescent="0.25">
      <c r="A2" s="2">
        <v>2022</v>
      </c>
      <c r="B2" s="17" t="s">
        <v>54</v>
      </c>
      <c r="C2" s="2">
        <v>18952</v>
      </c>
    </row>
    <row r="3" spans="1:3" ht="90" x14ac:dyDescent="0.25">
      <c r="A3" s="2">
        <v>2023</v>
      </c>
      <c r="B3" s="16" t="s">
        <v>102</v>
      </c>
      <c r="C3" s="2">
        <v>85122.91</v>
      </c>
    </row>
    <row r="4" spans="1:3" ht="330" x14ac:dyDescent="0.25">
      <c r="A4" s="2">
        <v>2024</v>
      </c>
      <c r="B4" s="15" t="s">
        <v>107</v>
      </c>
      <c r="C4">
        <v>1020471</v>
      </c>
    </row>
    <row r="5" spans="1:3" ht="409.5" x14ac:dyDescent="0.25">
      <c r="A5" s="2">
        <v>2025</v>
      </c>
      <c r="B5" s="15" t="s">
        <v>106</v>
      </c>
      <c r="C5">
        <v>1718517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7A38-777D-459A-9871-9DE810D259DB}">
  <dimension ref="A1:G42"/>
  <sheetViews>
    <sheetView tabSelected="1" workbookViewId="0">
      <selection activeCell="F17" sqref="F17"/>
    </sheetView>
  </sheetViews>
  <sheetFormatPr defaultRowHeight="15" x14ac:dyDescent="0.25"/>
  <cols>
    <col min="1" max="1" width="57.28515625" bestFit="1" customWidth="1"/>
    <col min="3" max="3" width="12.5703125" bestFit="1" customWidth="1"/>
    <col min="4" max="4" width="13.140625" bestFit="1" customWidth="1"/>
  </cols>
  <sheetData>
    <row r="1" spans="1:7" s="19" customFormat="1" x14ac:dyDescent="0.25">
      <c r="A1" s="19" t="s">
        <v>109</v>
      </c>
      <c r="B1" s="19" t="s">
        <v>110</v>
      </c>
      <c r="C1" s="19" t="s">
        <v>111</v>
      </c>
      <c r="D1" s="19" t="s">
        <v>112</v>
      </c>
      <c r="E1" s="19" t="s">
        <v>113</v>
      </c>
      <c r="F1" s="19" t="s">
        <v>114</v>
      </c>
      <c r="G1" s="19" t="s">
        <v>115</v>
      </c>
    </row>
    <row r="2" spans="1:7" s="23" customFormat="1" x14ac:dyDescent="0.25">
      <c r="A2" s="23" t="s">
        <v>127</v>
      </c>
      <c r="B2" s="23">
        <v>20.07</v>
      </c>
      <c r="C2" s="23">
        <v>19.48</v>
      </c>
      <c r="D2" s="24">
        <v>2.7000000000000001E-3</v>
      </c>
      <c r="E2" s="25">
        <f>(B2-C2)</f>
        <v>0.58999999999999986</v>
      </c>
      <c r="F2" s="26">
        <f>ROUNDUP(E2/(B2/100),2)</f>
        <v>2.94</v>
      </c>
    </row>
    <row r="3" spans="1:7" x14ac:dyDescent="0.25">
      <c r="A3" t="s">
        <v>121</v>
      </c>
      <c r="B3">
        <v>226.08</v>
      </c>
      <c r="C3">
        <v>223.89</v>
      </c>
      <c r="D3" s="21">
        <v>7.4999999999999997E-3</v>
      </c>
      <c r="E3" s="20">
        <f>(B3-C3)</f>
        <v>2.1900000000000261</v>
      </c>
      <c r="F3" s="22">
        <f>ROUNDUP(E3/(B3/100),2)</f>
        <v>0.97</v>
      </c>
    </row>
    <row r="4" spans="1:7" s="23" customFormat="1" x14ac:dyDescent="0.25">
      <c r="A4" s="23" t="s">
        <v>120</v>
      </c>
      <c r="B4" s="23">
        <v>20.28</v>
      </c>
      <c r="C4" s="23">
        <v>18.97</v>
      </c>
      <c r="D4" s="24">
        <v>3.0000000000000001E-3</v>
      </c>
      <c r="E4" s="25">
        <f>(B4-C4)</f>
        <v>1.3100000000000023</v>
      </c>
      <c r="F4" s="26">
        <f>ROUNDUP(E4/(B4/100),2)</f>
        <v>6.46</v>
      </c>
    </row>
    <row r="5" spans="1:7" x14ac:dyDescent="0.25">
      <c r="A5" t="s">
        <v>122</v>
      </c>
      <c r="B5">
        <v>18.09</v>
      </c>
      <c r="C5">
        <v>19.71</v>
      </c>
      <c r="D5" s="21">
        <v>9.1999999999999998E-3</v>
      </c>
      <c r="E5" s="20">
        <f>(B5-C5)</f>
        <v>-1.620000000000001</v>
      </c>
      <c r="F5" s="22">
        <f>ROUNDUP(E5/(B5/100),2)</f>
        <v>-8.9599999999999991</v>
      </c>
    </row>
    <row r="6" spans="1:7" x14ac:dyDescent="0.25">
      <c r="A6" t="s">
        <v>119</v>
      </c>
      <c r="B6">
        <v>36.08</v>
      </c>
      <c r="C6">
        <v>35.01</v>
      </c>
      <c r="D6" s="21">
        <v>9.7999999999999997E-3</v>
      </c>
      <c r="E6" s="20">
        <f>(B6-C6)</f>
        <v>1.0700000000000003</v>
      </c>
      <c r="F6" s="22">
        <f>ROUNDUP(E6/(B6/100),2)</f>
        <v>2.9699999999999998</v>
      </c>
    </row>
    <row r="7" spans="1:7" s="22" customFormat="1" x14ac:dyDescent="0.25">
      <c r="A7" s="20" t="s">
        <v>116</v>
      </c>
      <c r="B7" s="20">
        <v>128.4</v>
      </c>
      <c r="C7" s="20">
        <v>119.11</v>
      </c>
      <c r="D7" s="21">
        <v>8.5000000000000006E-3</v>
      </c>
      <c r="E7" s="20">
        <f>(B7-C7)</f>
        <v>9.2900000000000063</v>
      </c>
      <c r="F7" s="22">
        <f>ROUNDUP(E7/(B7/100),2)</f>
        <v>7.24</v>
      </c>
    </row>
    <row r="8" spans="1:7" x14ac:dyDescent="0.25">
      <c r="A8" t="s">
        <v>117</v>
      </c>
      <c r="B8">
        <v>910.66</v>
      </c>
      <c r="C8">
        <v>897.34</v>
      </c>
      <c r="D8" s="21">
        <v>6.7000000000000002E-3</v>
      </c>
      <c r="E8" s="20">
        <f t="shared" ref="E8:E42" si="0">(B8-C8)</f>
        <v>13.319999999999936</v>
      </c>
      <c r="F8" s="22">
        <f t="shared" ref="F8:F42" si="1">ROUNDUP(E8/(B8/100),2)</f>
        <v>1.47</v>
      </c>
    </row>
    <row r="9" spans="1:7" x14ac:dyDescent="0.25">
      <c r="A9" t="s">
        <v>118</v>
      </c>
      <c r="B9">
        <v>20.41</v>
      </c>
      <c r="C9">
        <v>23.55</v>
      </c>
      <c r="D9" s="21">
        <v>6.1000000000000004E-3</v>
      </c>
      <c r="E9" s="20">
        <f t="shared" si="0"/>
        <v>-3.1400000000000006</v>
      </c>
      <c r="F9" s="22">
        <f t="shared" si="1"/>
        <v>-15.39</v>
      </c>
    </row>
    <row r="10" spans="1:7" x14ac:dyDescent="0.25">
      <c r="A10" s="23" t="s">
        <v>130</v>
      </c>
      <c r="B10" s="23">
        <v>44.37</v>
      </c>
      <c r="C10" s="23">
        <v>45.01</v>
      </c>
      <c r="D10" s="27"/>
      <c r="E10" s="20">
        <f>(B10-C10)</f>
        <v>-0.64000000000000057</v>
      </c>
      <c r="F10" s="22">
        <f>ROUNDUP(E10/(B10/100),2)</f>
        <v>-1.45</v>
      </c>
    </row>
    <row r="11" spans="1:7" s="23" customFormat="1" x14ac:dyDescent="0.25">
      <c r="A11" s="23" t="s">
        <v>126</v>
      </c>
      <c r="B11" s="23">
        <v>19.25</v>
      </c>
      <c r="C11" s="23">
        <v>17.53</v>
      </c>
      <c r="D11" s="24"/>
      <c r="E11" s="25">
        <f>(B11-C11)</f>
        <v>1.7199999999999989</v>
      </c>
      <c r="F11" s="26">
        <f>ROUNDUP(E11/(B11/100),2)</f>
        <v>8.94</v>
      </c>
    </row>
    <row r="12" spans="1:7" x14ac:dyDescent="0.25">
      <c r="A12" s="23" t="s">
        <v>131</v>
      </c>
      <c r="B12" s="23">
        <v>407.44</v>
      </c>
      <c r="C12" s="23">
        <v>422.52</v>
      </c>
      <c r="D12" s="27"/>
      <c r="E12" s="20">
        <f>(B12-C12)</f>
        <v>-15.079999999999984</v>
      </c>
      <c r="F12" s="26">
        <f>ROUNDUP(E12/(B12/100),2)</f>
        <v>-3.71</v>
      </c>
    </row>
    <row r="13" spans="1:7" x14ac:dyDescent="0.25">
      <c r="A13" s="23" t="s">
        <v>129</v>
      </c>
      <c r="B13" s="23">
        <v>51.04</v>
      </c>
      <c r="C13" s="23">
        <v>49.04</v>
      </c>
      <c r="D13" s="27"/>
      <c r="E13" s="20">
        <f>(B13-C13)</f>
        <v>2</v>
      </c>
      <c r="F13" s="22">
        <f>ROUNDUP(E13/(B13/100),2)</f>
        <v>3.92</v>
      </c>
    </row>
    <row r="14" spans="1:7" x14ac:dyDescent="0.25">
      <c r="A14" s="23" t="s">
        <v>128</v>
      </c>
      <c r="B14" s="23">
        <v>402.46</v>
      </c>
      <c r="C14" s="23">
        <v>337.14</v>
      </c>
      <c r="D14" s="27"/>
      <c r="E14" s="20">
        <f>(B14-C14)</f>
        <v>65.319999999999993</v>
      </c>
      <c r="F14" s="26">
        <f>ROUNDUP(E14/(B14/100),2)</f>
        <v>16.240000000000002</v>
      </c>
    </row>
    <row r="15" spans="1:7" x14ac:dyDescent="0.25">
      <c r="A15" s="23" t="s">
        <v>425</v>
      </c>
      <c r="B15" s="23"/>
      <c r="C15" s="23"/>
      <c r="D15" s="27"/>
      <c r="E15" s="20"/>
      <c r="F15" s="22"/>
    </row>
    <row r="16" spans="1:7" x14ac:dyDescent="0.25">
      <c r="A16" t="s">
        <v>123</v>
      </c>
      <c r="B16">
        <v>9.92</v>
      </c>
      <c r="C16">
        <v>9.6</v>
      </c>
      <c r="D16" s="21"/>
      <c r="E16" s="20">
        <f t="shared" si="0"/>
        <v>0.32000000000000028</v>
      </c>
      <c r="F16" s="22">
        <f t="shared" si="1"/>
        <v>3.23</v>
      </c>
    </row>
    <row r="17" spans="1:6" s="23" customFormat="1" x14ac:dyDescent="0.25">
      <c r="A17" s="23" t="s">
        <v>124</v>
      </c>
      <c r="B17" s="23">
        <v>243.78</v>
      </c>
      <c r="C17" s="23">
        <v>224.62</v>
      </c>
      <c r="D17" s="24">
        <v>1.9E-3</v>
      </c>
      <c r="E17" s="25">
        <f t="shared" si="0"/>
        <v>19.159999999999997</v>
      </c>
      <c r="F17" s="19">
        <f t="shared" si="1"/>
        <v>7.8599999999999994</v>
      </c>
    </row>
    <row r="18" spans="1:6" s="23" customFormat="1" x14ac:dyDescent="0.25">
      <c r="A18" s="23" t="s">
        <v>125</v>
      </c>
      <c r="B18" s="23">
        <v>10.84</v>
      </c>
      <c r="C18" s="23">
        <v>8.68</v>
      </c>
      <c r="D18" s="24">
        <v>4.7000000000000002E-3</v>
      </c>
      <c r="E18" s="25">
        <f t="shared" si="0"/>
        <v>2.16</v>
      </c>
      <c r="F18" s="19">
        <f t="shared" si="1"/>
        <v>19.930000000000003</v>
      </c>
    </row>
    <row r="25" spans="1:6" x14ac:dyDescent="0.25">
      <c r="D25" s="27"/>
      <c r="E25" s="20"/>
      <c r="F25" s="22"/>
    </row>
    <row r="26" spans="1:6" x14ac:dyDescent="0.25">
      <c r="A26" s="23" t="s">
        <v>132</v>
      </c>
      <c r="B26" s="23">
        <v>187</v>
      </c>
      <c r="C26" s="23">
        <v>138.91999999999999</v>
      </c>
      <c r="E26" s="25">
        <f t="shared" si="0"/>
        <v>48.080000000000013</v>
      </c>
      <c r="F26" s="28">
        <f t="shared" si="1"/>
        <v>25.720000000000002</v>
      </c>
    </row>
    <row r="27" spans="1:6" x14ac:dyDescent="0.25">
      <c r="A27" s="23" t="s">
        <v>44</v>
      </c>
      <c r="B27" s="23">
        <v>180</v>
      </c>
      <c r="C27" s="23">
        <v>139.94</v>
      </c>
      <c r="E27" s="25">
        <f t="shared" si="0"/>
        <v>40.06</v>
      </c>
      <c r="F27" s="28">
        <f t="shared" si="1"/>
        <v>22.26</v>
      </c>
    </row>
    <row r="28" spans="1:6" x14ac:dyDescent="0.25">
      <c r="A28" s="23" t="s">
        <v>133</v>
      </c>
      <c r="B28" s="23">
        <v>180</v>
      </c>
      <c r="C28" s="23">
        <v>138.75</v>
      </c>
      <c r="E28" s="25">
        <f t="shared" si="0"/>
        <v>41.25</v>
      </c>
      <c r="F28" s="28">
        <f t="shared" si="1"/>
        <v>22.92</v>
      </c>
    </row>
    <row r="29" spans="1:6" x14ac:dyDescent="0.25">
      <c r="A29" s="23" t="s">
        <v>134</v>
      </c>
      <c r="B29" s="23">
        <v>194.8</v>
      </c>
      <c r="C29" s="23">
        <v>142.24</v>
      </c>
      <c r="E29" s="25">
        <f t="shared" si="0"/>
        <v>52.56</v>
      </c>
      <c r="F29" s="19">
        <f t="shared" si="1"/>
        <v>26.990000000000002</v>
      </c>
    </row>
    <row r="30" spans="1:6" x14ac:dyDescent="0.25">
      <c r="A30" s="23"/>
      <c r="B30" s="23"/>
      <c r="C30" s="23"/>
      <c r="E30" s="25"/>
      <c r="F30" s="19"/>
    </row>
    <row r="31" spans="1:6" x14ac:dyDescent="0.25">
      <c r="A31" s="23" t="s">
        <v>45</v>
      </c>
      <c r="B31" s="23">
        <v>139</v>
      </c>
      <c r="C31" s="23">
        <v>132.41999999999999</v>
      </c>
      <c r="E31" s="25">
        <f t="shared" si="0"/>
        <v>6.5800000000000125</v>
      </c>
      <c r="F31" s="19">
        <f t="shared" si="1"/>
        <v>4.74</v>
      </c>
    </row>
    <row r="32" spans="1:6" x14ac:dyDescent="0.25">
      <c r="A32" s="23" t="s">
        <v>46</v>
      </c>
      <c r="B32" s="23">
        <v>135.9</v>
      </c>
      <c r="C32" s="23">
        <v>127.42</v>
      </c>
      <c r="E32" s="25">
        <f t="shared" si="0"/>
        <v>8.480000000000004</v>
      </c>
      <c r="F32" s="19">
        <f t="shared" si="1"/>
        <v>6.24</v>
      </c>
    </row>
    <row r="33" spans="1:6" s="30" customFormat="1" x14ac:dyDescent="0.25">
      <c r="A33" s="29" t="s">
        <v>135</v>
      </c>
      <c r="B33" s="29">
        <v>142.22</v>
      </c>
      <c r="C33" s="29">
        <v>131.51</v>
      </c>
      <c r="E33" s="29">
        <f t="shared" si="0"/>
        <v>10.710000000000008</v>
      </c>
      <c r="F33" s="28">
        <f t="shared" si="1"/>
        <v>7.54</v>
      </c>
    </row>
    <row r="34" spans="1:6" x14ac:dyDescent="0.25">
      <c r="A34" s="23" t="s">
        <v>136</v>
      </c>
      <c r="B34" s="31">
        <v>11477</v>
      </c>
      <c r="C34" s="23">
        <v>10194.200000000001</v>
      </c>
      <c r="E34" s="25">
        <f t="shared" si="0"/>
        <v>1282.7999999999993</v>
      </c>
      <c r="F34" s="19">
        <f t="shared" si="1"/>
        <v>11.18</v>
      </c>
    </row>
    <row r="35" spans="1:6" x14ac:dyDescent="0.25">
      <c r="A35" s="23" t="s">
        <v>137</v>
      </c>
      <c r="B35" s="23">
        <v>93</v>
      </c>
      <c r="C35" s="23">
        <v>91.29</v>
      </c>
      <c r="E35" s="25">
        <f t="shared" si="0"/>
        <v>1.7099999999999937</v>
      </c>
      <c r="F35" s="19">
        <f t="shared" si="1"/>
        <v>1.84</v>
      </c>
    </row>
    <row r="36" spans="1:6" x14ac:dyDescent="0.25">
      <c r="A36" s="23" t="s">
        <v>138</v>
      </c>
      <c r="B36" s="23">
        <v>109.9</v>
      </c>
      <c r="C36" s="23">
        <v>108.05</v>
      </c>
      <c r="E36" s="25">
        <f t="shared" si="0"/>
        <v>1.8500000000000085</v>
      </c>
      <c r="F36" s="19">
        <f t="shared" si="1"/>
        <v>1.69</v>
      </c>
    </row>
    <row r="37" spans="1:6" x14ac:dyDescent="0.25">
      <c r="A37" s="23" t="s">
        <v>139</v>
      </c>
      <c r="B37" s="23">
        <v>96.96</v>
      </c>
      <c r="C37" s="23">
        <v>94.19</v>
      </c>
      <c r="E37" s="25">
        <f t="shared" si="0"/>
        <v>2.769999999999996</v>
      </c>
      <c r="F37" s="19">
        <f t="shared" si="1"/>
        <v>2.86</v>
      </c>
    </row>
    <row r="38" spans="1:6" x14ac:dyDescent="0.25">
      <c r="A38" s="23" t="s">
        <v>140</v>
      </c>
      <c r="B38" s="23">
        <v>17.920000000000002</v>
      </c>
      <c r="C38" s="23">
        <v>17.329999999999998</v>
      </c>
      <c r="E38" s="25">
        <f t="shared" si="0"/>
        <v>0.59000000000000341</v>
      </c>
      <c r="F38" s="19">
        <f t="shared" si="1"/>
        <v>3.3</v>
      </c>
    </row>
    <row r="39" spans="1:6" x14ac:dyDescent="0.25">
      <c r="E39" s="25"/>
      <c r="F39" s="19"/>
    </row>
    <row r="40" spans="1:6" x14ac:dyDescent="0.25">
      <c r="A40" s="23" t="s">
        <v>141</v>
      </c>
      <c r="B40" s="23">
        <v>81.62</v>
      </c>
      <c r="C40" s="23">
        <v>71.62</v>
      </c>
      <c r="D40">
        <v>0.1</v>
      </c>
      <c r="E40" s="25">
        <f t="shared" si="0"/>
        <v>10</v>
      </c>
      <c r="F40" s="19">
        <f t="shared" si="1"/>
        <v>12.26</v>
      </c>
    </row>
    <row r="41" spans="1:6" x14ac:dyDescent="0.25">
      <c r="A41" s="23" t="s">
        <v>142</v>
      </c>
      <c r="B41" s="23">
        <v>825.6</v>
      </c>
      <c r="C41" s="23">
        <v>738.76</v>
      </c>
      <c r="E41" s="25">
        <f t="shared" si="0"/>
        <v>86.840000000000032</v>
      </c>
      <c r="F41" s="19">
        <f t="shared" si="1"/>
        <v>10.52</v>
      </c>
    </row>
    <row r="42" spans="1:6" x14ac:dyDescent="0.25">
      <c r="A42" s="23" t="s">
        <v>143</v>
      </c>
      <c r="B42" s="23">
        <v>189.95</v>
      </c>
      <c r="C42" s="23">
        <v>172.88</v>
      </c>
      <c r="E42" s="25">
        <f t="shared" si="0"/>
        <v>17.069999999999993</v>
      </c>
      <c r="F42" s="19">
        <f t="shared" si="1"/>
        <v>8.99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F1D9-872C-4FF9-80E8-CB7048844081}">
  <dimension ref="A1:E50"/>
  <sheetViews>
    <sheetView topLeftCell="A16" workbookViewId="0">
      <selection sqref="A1:D1048576"/>
    </sheetView>
  </sheetViews>
  <sheetFormatPr defaultRowHeight="15" x14ac:dyDescent="0.25"/>
  <cols>
    <col min="1" max="1" width="14" bestFit="1" customWidth="1"/>
    <col min="3" max="3" width="8.85546875" bestFit="1" customWidth="1"/>
    <col min="4" max="4" width="10" bestFit="1" customWidth="1"/>
    <col min="5" max="5" width="16.28515625" bestFit="1" customWidth="1"/>
  </cols>
  <sheetData>
    <row r="1" spans="1:5" x14ac:dyDescent="0.25">
      <c r="A1" t="s">
        <v>147</v>
      </c>
      <c r="B1" t="s">
        <v>148</v>
      </c>
      <c r="C1" t="s">
        <v>149</v>
      </c>
      <c r="D1" t="s">
        <v>150</v>
      </c>
      <c r="E1" t="s">
        <v>155</v>
      </c>
    </row>
    <row r="2" spans="1:5" x14ac:dyDescent="0.25">
      <c r="A2" t="s">
        <v>0</v>
      </c>
      <c r="B2">
        <v>20</v>
      </c>
      <c r="C2">
        <v>2727.3</v>
      </c>
      <c r="D2">
        <v>54546</v>
      </c>
    </row>
    <row r="3" spans="1:5" x14ac:dyDescent="0.25">
      <c r="A3" t="s">
        <v>8</v>
      </c>
      <c r="B3">
        <v>100</v>
      </c>
      <c r="C3">
        <v>665.47</v>
      </c>
      <c r="D3">
        <v>66547.399999999994</v>
      </c>
    </row>
    <row r="4" spans="1:5" x14ac:dyDescent="0.25">
      <c r="A4" t="s">
        <v>12</v>
      </c>
      <c r="B4">
        <v>18</v>
      </c>
      <c r="C4">
        <v>1585.4</v>
      </c>
      <c r="D4">
        <v>28537.200000000001</v>
      </c>
    </row>
    <row r="5" spans="1:5" x14ac:dyDescent="0.25">
      <c r="A5" t="s">
        <v>10</v>
      </c>
      <c r="B5">
        <v>90</v>
      </c>
      <c r="C5">
        <v>2446.4699999999998</v>
      </c>
      <c r="D5">
        <v>220182.45</v>
      </c>
    </row>
    <row r="6" spans="1:5" x14ac:dyDescent="0.25">
      <c r="A6" t="s">
        <v>31</v>
      </c>
      <c r="B6">
        <v>200</v>
      </c>
      <c r="C6">
        <v>143.37</v>
      </c>
      <c r="D6">
        <v>28674</v>
      </c>
    </row>
    <row r="7" spans="1:5" x14ac:dyDescent="0.25">
      <c r="A7" t="s">
        <v>24</v>
      </c>
      <c r="B7">
        <v>100</v>
      </c>
      <c r="C7">
        <v>799.61</v>
      </c>
      <c r="D7">
        <v>79961.25</v>
      </c>
    </row>
    <row r="8" spans="1:5" x14ac:dyDescent="0.25">
      <c r="A8" t="s">
        <v>13</v>
      </c>
      <c r="B8">
        <v>300</v>
      </c>
      <c r="C8">
        <v>392.57</v>
      </c>
      <c r="D8">
        <v>117769.7</v>
      </c>
    </row>
    <row r="9" spans="1:5" x14ac:dyDescent="0.25">
      <c r="A9" t="s">
        <v>15</v>
      </c>
      <c r="B9">
        <v>30</v>
      </c>
      <c r="C9">
        <v>1763.62</v>
      </c>
      <c r="D9">
        <v>52908.65</v>
      </c>
    </row>
    <row r="10" spans="1:5" x14ac:dyDescent="0.25">
      <c r="A10" t="s">
        <v>32</v>
      </c>
      <c r="B10">
        <v>20</v>
      </c>
      <c r="C10">
        <v>3452.85</v>
      </c>
      <c r="D10">
        <v>69057</v>
      </c>
      <c r="E10">
        <f>SUM(D2:D10)</f>
        <v>718183.65</v>
      </c>
    </row>
    <row r="12" spans="1:5" x14ac:dyDescent="0.25">
      <c r="A12" t="s">
        <v>30</v>
      </c>
      <c r="B12">
        <v>100</v>
      </c>
      <c r="C12">
        <v>357.2</v>
      </c>
      <c r="D12">
        <v>35720</v>
      </c>
    </row>
    <row r="13" spans="1:5" x14ac:dyDescent="0.25">
      <c r="A13" t="s">
        <v>19</v>
      </c>
      <c r="B13">
        <v>500</v>
      </c>
      <c r="C13">
        <v>99.56</v>
      </c>
      <c r="D13">
        <v>49782.1</v>
      </c>
    </row>
    <row r="14" spans="1:5" x14ac:dyDescent="0.25">
      <c r="A14" t="s">
        <v>16</v>
      </c>
      <c r="B14">
        <v>300</v>
      </c>
      <c r="C14">
        <v>98.64</v>
      </c>
      <c r="D14">
        <v>29592</v>
      </c>
    </row>
    <row r="15" spans="1:5" x14ac:dyDescent="0.25">
      <c r="A15" t="s">
        <v>7</v>
      </c>
      <c r="B15">
        <v>20</v>
      </c>
      <c r="C15">
        <v>1543.3</v>
      </c>
      <c r="D15">
        <v>30866</v>
      </c>
    </row>
    <row r="16" spans="1:5" x14ac:dyDescent="0.25">
      <c r="A16" t="s">
        <v>42</v>
      </c>
      <c r="B16">
        <v>25</v>
      </c>
      <c r="C16">
        <v>1327.3</v>
      </c>
      <c r="D16">
        <v>33182.5</v>
      </c>
    </row>
    <row r="17" spans="1:5" x14ac:dyDescent="0.25">
      <c r="A17" t="s">
        <v>34</v>
      </c>
      <c r="B17">
        <v>100</v>
      </c>
      <c r="C17">
        <v>477.06</v>
      </c>
      <c r="D17">
        <v>47706.2</v>
      </c>
    </row>
    <row r="18" spans="1:5" x14ac:dyDescent="0.25">
      <c r="A18" t="s">
        <v>154</v>
      </c>
      <c r="B18">
        <v>50</v>
      </c>
      <c r="C18">
        <v>665.5</v>
      </c>
      <c r="D18">
        <v>33275</v>
      </c>
      <c r="E18">
        <f>SUM(D12:D18)</f>
        <v>260123.8</v>
      </c>
    </row>
    <row r="20" spans="1:5" x14ac:dyDescent="0.25">
      <c r="A20" t="s">
        <v>17</v>
      </c>
      <c r="B20">
        <v>400</v>
      </c>
      <c r="C20">
        <v>75.599999999999994</v>
      </c>
      <c r="D20">
        <v>30240</v>
      </c>
    </row>
    <row r="21" spans="1:5" x14ac:dyDescent="0.25">
      <c r="A21" t="s">
        <v>151</v>
      </c>
      <c r="B21">
        <v>500</v>
      </c>
      <c r="C21">
        <v>45.11</v>
      </c>
      <c r="D21">
        <v>22552.78</v>
      </c>
    </row>
    <row r="22" spans="1:5" x14ac:dyDescent="0.25">
      <c r="A22" t="s">
        <v>152</v>
      </c>
      <c r="B22">
        <v>5</v>
      </c>
      <c r="C22">
        <v>1792.73</v>
      </c>
      <c r="D22">
        <v>8963.65</v>
      </c>
    </row>
    <row r="23" spans="1:5" x14ac:dyDescent="0.25">
      <c r="A23" t="s">
        <v>153</v>
      </c>
      <c r="B23">
        <v>100</v>
      </c>
      <c r="C23">
        <v>583.25</v>
      </c>
      <c r="D23">
        <v>58325</v>
      </c>
    </row>
    <row r="24" spans="1:5" x14ac:dyDescent="0.25">
      <c r="A24" t="s">
        <v>20</v>
      </c>
      <c r="B24">
        <v>70</v>
      </c>
      <c r="C24">
        <v>876.03</v>
      </c>
      <c r="D24">
        <v>61321.95</v>
      </c>
    </row>
    <row r="25" spans="1:5" x14ac:dyDescent="0.25">
      <c r="A25" t="s">
        <v>1</v>
      </c>
      <c r="B25">
        <v>100</v>
      </c>
      <c r="C25">
        <v>205.3</v>
      </c>
      <c r="D25">
        <v>20530.3</v>
      </c>
    </row>
    <row r="26" spans="1:5" x14ac:dyDescent="0.25">
      <c r="A26" t="s">
        <v>49</v>
      </c>
      <c r="B26">
        <v>20</v>
      </c>
      <c r="C26">
        <v>31.57</v>
      </c>
      <c r="D26">
        <v>631.35</v>
      </c>
    </row>
    <row r="27" spans="1:5" x14ac:dyDescent="0.25">
      <c r="A27" t="s">
        <v>22</v>
      </c>
      <c r="B27">
        <v>120</v>
      </c>
      <c r="C27">
        <v>829.13</v>
      </c>
      <c r="D27">
        <v>99495.1</v>
      </c>
    </row>
    <row r="28" spans="1:5" x14ac:dyDescent="0.25">
      <c r="A28" t="s">
        <v>14</v>
      </c>
      <c r="B28">
        <v>20</v>
      </c>
      <c r="C28">
        <v>593.72</v>
      </c>
      <c r="D28">
        <v>11874.35</v>
      </c>
    </row>
    <row r="29" spans="1:5" x14ac:dyDescent="0.25">
      <c r="A29" t="s">
        <v>43</v>
      </c>
      <c r="B29">
        <v>35</v>
      </c>
      <c r="C29">
        <v>861.34</v>
      </c>
      <c r="D29">
        <v>30146.75</v>
      </c>
    </row>
    <row r="30" spans="1:5" x14ac:dyDescent="0.25">
      <c r="A30" t="s">
        <v>21</v>
      </c>
      <c r="B30">
        <v>10</v>
      </c>
      <c r="C30">
        <v>1396.05</v>
      </c>
      <c r="D30">
        <v>13960.5</v>
      </c>
    </row>
    <row r="31" spans="1:5" x14ac:dyDescent="0.25">
      <c r="A31" t="s">
        <v>2</v>
      </c>
      <c r="B31">
        <v>200</v>
      </c>
      <c r="C31">
        <v>339.58</v>
      </c>
      <c r="D31">
        <v>67916.800000000003</v>
      </c>
    </row>
    <row r="32" spans="1:5" x14ac:dyDescent="0.25">
      <c r="A32" t="s">
        <v>4</v>
      </c>
      <c r="B32">
        <v>150</v>
      </c>
      <c r="C32">
        <v>81.27</v>
      </c>
      <c r="D32">
        <v>12190.5</v>
      </c>
    </row>
    <row r="33" spans="1:5" x14ac:dyDescent="0.25">
      <c r="A33" t="s">
        <v>33</v>
      </c>
      <c r="B33">
        <v>800</v>
      </c>
      <c r="C33">
        <v>43.15</v>
      </c>
      <c r="D33">
        <v>34523.1</v>
      </c>
    </row>
    <row r="34" spans="1:5" x14ac:dyDescent="0.25">
      <c r="A34" t="s">
        <v>11</v>
      </c>
      <c r="B34">
        <v>200</v>
      </c>
      <c r="C34">
        <v>76.900000000000006</v>
      </c>
      <c r="D34">
        <v>15379.32</v>
      </c>
    </row>
    <row r="35" spans="1:5" x14ac:dyDescent="0.25">
      <c r="A35" t="s">
        <v>3</v>
      </c>
      <c r="B35">
        <v>30</v>
      </c>
      <c r="C35">
        <v>1357.2</v>
      </c>
      <c r="D35">
        <v>40716</v>
      </c>
    </row>
    <row r="36" spans="1:5" x14ac:dyDescent="0.25">
      <c r="A36" t="s">
        <v>6</v>
      </c>
      <c r="B36">
        <v>4</v>
      </c>
      <c r="C36">
        <v>2339.96</v>
      </c>
      <c r="D36">
        <v>9359.85</v>
      </c>
    </row>
    <row r="37" spans="1:5" x14ac:dyDescent="0.25">
      <c r="A37" t="s">
        <v>35</v>
      </c>
      <c r="B37">
        <v>50</v>
      </c>
      <c r="C37">
        <v>1265.25</v>
      </c>
      <c r="D37">
        <v>63262.7</v>
      </c>
      <c r="E37">
        <f>SUM(D20:D37)</f>
        <v>601389.99999999988</v>
      </c>
    </row>
    <row r="39" spans="1:5" x14ac:dyDescent="0.25">
      <c r="A39" t="s">
        <v>26</v>
      </c>
      <c r="B39">
        <v>400</v>
      </c>
      <c r="C39">
        <v>247.35</v>
      </c>
      <c r="D39">
        <v>98940.78</v>
      </c>
    </row>
    <row r="40" spans="1:5" x14ac:dyDescent="0.25">
      <c r="A40" t="s">
        <v>27</v>
      </c>
      <c r="B40">
        <v>100</v>
      </c>
      <c r="C40">
        <v>677.92</v>
      </c>
      <c r="D40">
        <v>67792.36</v>
      </c>
    </row>
    <row r="41" spans="1:5" x14ac:dyDescent="0.25">
      <c r="A41" t="s">
        <v>47</v>
      </c>
      <c r="B41">
        <v>200</v>
      </c>
      <c r="C41">
        <v>138.77000000000001</v>
      </c>
      <c r="D41">
        <v>27753.41</v>
      </c>
    </row>
    <row r="42" spans="1:5" x14ac:dyDescent="0.25">
      <c r="A42" t="s">
        <v>5</v>
      </c>
      <c r="B42">
        <v>1500</v>
      </c>
      <c r="C42">
        <v>59.59</v>
      </c>
      <c r="D42">
        <v>89391.3</v>
      </c>
    </row>
    <row r="43" spans="1:5" x14ac:dyDescent="0.25">
      <c r="A43" t="s">
        <v>23</v>
      </c>
      <c r="B43">
        <v>200</v>
      </c>
      <c r="C43">
        <v>401.05</v>
      </c>
      <c r="D43">
        <v>80210.5</v>
      </c>
      <c r="E43">
        <f>SUM(D39:D43)</f>
        <v>364088.35000000003</v>
      </c>
    </row>
    <row r="45" spans="1:5" x14ac:dyDescent="0.25">
      <c r="A45" t="s">
        <v>144</v>
      </c>
      <c r="B45">
        <v>16</v>
      </c>
      <c r="C45">
        <v>6213</v>
      </c>
      <c r="D45">
        <v>99408</v>
      </c>
    </row>
    <row r="46" spans="1:5" x14ac:dyDescent="0.25">
      <c r="A46" t="s">
        <v>46</v>
      </c>
      <c r="B46">
        <v>500</v>
      </c>
      <c r="C46">
        <v>99.79</v>
      </c>
      <c r="D46">
        <v>49893</v>
      </c>
    </row>
    <row r="47" spans="1:5" x14ac:dyDescent="0.25">
      <c r="A47" t="s">
        <v>25</v>
      </c>
      <c r="B47">
        <v>6800</v>
      </c>
      <c r="C47">
        <v>69.64</v>
      </c>
      <c r="D47">
        <v>473537.43</v>
      </c>
    </row>
    <row r="48" spans="1:5" x14ac:dyDescent="0.25">
      <c r="A48" t="s">
        <v>44</v>
      </c>
      <c r="B48">
        <v>500</v>
      </c>
      <c r="C48">
        <v>170.25</v>
      </c>
      <c r="D48">
        <v>85127.28</v>
      </c>
    </row>
    <row r="49" spans="1:5" x14ac:dyDescent="0.25">
      <c r="A49" t="s">
        <v>45</v>
      </c>
      <c r="B49">
        <v>1000</v>
      </c>
      <c r="C49">
        <v>108.97</v>
      </c>
      <c r="D49">
        <v>108970</v>
      </c>
    </row>
    <row r="50" spans="1:5" x14ac:dyDescent="0.25">
      <c r="A50" t="s">
        <v>9</v>
      </c>
      <c r="B50">
        <v>700</v>
      </c>
      <c r="C50">
        <v>134.12</v>
      </c>
      <c r="D50">
        <v>93882.76</v>
      </c>
      <c r="E50">
        <f>SUM(D45:D50)</f>
        <v>910818.47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7B83-CEEB-4FF8-A6E8-0A84D0736D33}">
  <dimension ref="A1:G30"/>
  <sheetViews>
    <sheetView workbookViewId="0">
      <selection activeCell="I34" sqref="I34"/>
    </sheetView>
  </sheetViews>
  <sheetFormatPr defaultRowHeight="15" x14ac:dyDescent="0.25"/>
  <cols>
    <col min="1" max="1" width="13.7109375" bestFit="1" customWidth="1"/>
    <col min="2" max="2" width="13.85546875" bestFit="1" customWidth="1"/>
    <col min="3" max="3" width="8.7109375" bestFit="1" customWidth="1"/>
    <col min="4" max="5" width="12.140625" bestFit="1" customWidth="1"/>
    <col min="6" max="6" width="11.42578125" bestFit="1" customWidth="1"/>
    <col min="7" max="7" width="16.42578125" bestFit="1" customWidth="1"/>
  </cols>
  <sheetData>
    <row r="1" spans="1:7" x14ac:dyDescent="0.25">
      <c r="A1" s="36" t="s">
        <v>170</v>
      </c>
      <c r="B1" s="36" t="s">
        <v>171</v>
      </c>
      <c r="C1" s="36" t="s">
        <v>38</v>
      </c>
      <c r="D1" s="36" t="s">
        <v>172</v>
      </c>
      <c r="E1" s="36" t="s">
        <v>173</v>
      </c>
      <c r="F1" s="36" t="s">
        <v>174</v>
      </c>
      <c r="G1" s="36" t="s">
        <v>175</v>
      </c>
    </row>
    <row r="2" spans="1:7" x14ac:dyDescent="0.25">
      <c r="A2" s="34" t="s">
        <v>176</v>
      </c>
      <c r="B2" s="34" t="s">
        <v>177</v>
      </c>
      <c r="C2" s="35">
        <v>500</v>
      </c>
      <c r="D2" s="35">
        <v>12012</v>
      </c>
      <c r="E2" s="35">
        <v>13940</v>
      </c>
      <c r="F2" s="35">
        <v>1928</v>
      </c>
      <c r="G2" s="35">
        <v>16.050599999999999</v>
      </c>
    </row>
    <row r="3" spans="1:7" x14ac:dyDescent="0.25">
      <c r="A3" s="34" t="s">
        <v>2</v>
      </c>
      <c r="B3" s="34" t="s">
        <v>178</v>
      </c>
      <c r="C3" s="35">
        <v>100</v>
      </c>
      <c r="D3" s="35">
        <v>27980.95</v>
      </c>
      <c r="E3" s="35">
        <v>41221</v>
      </c>
      <c r="F3" s="35">
        <v>13240.05</v>
      </c>
      <c r="G3" s="35">
        <v>47.318100000000001</v>
      </c>
    </row>
    <row r="4" spans="1:7" x14ac:dyDescent="0.25">
      <c r="A4" s="34" t="s">
        <v>179</v>
      </c>
      <c r="B4" s="34" t="s">
        <v>180</v>
      </c>
      <c r="C4" s="35">
        <v>215</v>
      </c>
      <c r="D4" s="35">
        <v>17914.900000000001</v>
      </c>
      <c r="E4" s="35">
        <v>20723.849999999999</v>
      </c>
      <c r="F4" s="35">
        <v>2808.95</v>
      </c>
      <c r="G4" s="35">
        <v>15.679399999999999</v>
      </c>
    </row>
    <row r="5" spans="1:7" x14ac:dyDescent="0.25">
      <c r="A5" s="34" t="s">
        <v>181</v>
      </c>
      <c r="B5" s="34" t="s">
        <v>182</v>
      </c>
      <c r="C5" s="35">
        <v>100</v>
      </c>
      <c r="D5" s="35">
        <v>14185</v>
      </c>
      <c r="E5" s="35">
        <v>20320</v>
      </c>
      <c r="F5" s="35">
        <v>6135</v>
      </c>
      <c r="G5" s="35">
        <v>43.249899999999997</v>
      </c>
    </row>
    <row r="6" spans="1:7" x14ac:dyDescent="0.25">
      <c r="A6" s="34" t="s">
        <v>183</v>
      </c>
      <c r="B6" s="34" t="s">
        <v>184</v>
      </c>
      <c r="C6" s="35">
        <v>100</v>
      </c>
      <c r="D6" s="35">
        <v>154344.15</v>
      </c>
      <c r="E6" s="35">
        <v>174012.5</v>
      </c>
      <c r="F6" s="35">
        <v>19668.349999999999</v>
      </c>
      <c r="G6" s="35">
        <v>12.7432</v>
      </c>
    </row>
    <row r="7" spans="1:7" x14ac:dyDescent="0.25">
      <c r="A7" s="34" t="s">
        <v>185</v>
      </c>
      <c r="B7" s="34" t="s">
        <v>186</v>
      </c>
      <c r="C7" s="35">
        <v>600</v>
      </c>
      <c r="D7" s="35">
        <v>59910.7</v>
      </c>
      <c r="E7" s="35">
        <v>111490</v>
      </c>
      <c r="F7" s="35">
        <v>51579.3</v>
      </c>
      <c r="G7" s="35">
        <v>86.093599999999995</v>
      </c>
    </row>
    <row r="8" spans="1:7" x14ac:dyDescent="0.25">
      <c r="A8" s="34" t="s">
        <v>187</v>
      </c>
      <c r="B8" s="34" t="s">
        <v>188</v>
      </c>
      <c r="C8" s="35">
        <v>72</v>
      </c>
      <c r="D8" s="35">
        <v>32271.45</v>
      </c>
      <c r="E8" s="35">
        <v>39967.199999999997</v>
      </c>
      <c r="F8" s="35">
        <v>7695.75</v>
      </c>
      <c r="G8" s="35">
        <v>23.846900000000002</v>
      </c>
    </row>
    <row r="9" spans="1:7" x14ac:dyDescent="0.25">
      <c r="A9" s="34" t="s">
        <v>10</v>
      </c>
      <c r="B9" s="34" t="s">
        <v>189</v>
      </c>
      <c r="C9" s="35">
        <v>4</v>
      </c>
      <c r="D9" s="35">
        <v>9828</v>
      </c>
      <c r="E9" s="35">
        <v>10620.2</v>
      </c>
      <c r="F9" s="35">
        <v>792.2</v>
      </c>
      <c r="G9" s="35">
        <v>8.0606000000000009</v>
      </c>
    </row>
    <row r="10" spans="1:7" x14ac:dyDescent="0.25">
      <c r="A10" s="34" t="s">
        <v>12</v>
      </c>
      <c r="B10" s="34" t="s">
        <v>190</v>
      </c>
      <c r="C10" s="35">
        <v>24</v>
      </c>
      <c r="D10" s="35">
        <v>37805.599999999999</v>
      </c>
      <c r="E10" s="35">
        <v>43501.1</v>
      </c>
      <c r="F10" s="35">
        <v>5695.5</v>
      </c>
      <c r="G10" s="35">
        <v>15.065200000000001</v>
      </c>
    </row>
    <row r="11" spans="1:7" x14ac:dyDescent="0.25">
      <c r="A11" s="34" t="s">
        <v>191</v>
      </c>
      <c r="B11" s="34" t="s">
        <v>192</v>
      </c>
      <c r="C11" s="35">
        <v>25</v>
      </c>
      <c r="D11" s="35">
        <v>12351.25</v>
      </c>
      <c r="E11" s="35">
        <v>14517.5</v>
      </c>
      <c r="F11" s="35">
        <v>2166.25</v>
      </c>
      <c r="G11" s="35">
        <v>17.538699999999999</v>
      </c>
    </row>
    <row r="12" spans="1:7" x14ac:dyDescent="0.25">
      <c r="A12" s="34" t="s">
        <v>193</v>
      </c>
      <c r="B12" s="34" t="s">
        <v>194</v>
      </c>
      <c r="C12" s="35">
        <v>256</v>
      </c>
      <c r="D12" s="35">
        <v>39343.699999999997</v>
      </c>
      <c r="E12" s="35">
        <v>42022.3</v>
      </c>
      <c r="F12" s="35">
        <v>2678.6</v>
      </c>
      <c r="G12" s="35">
        <v>6.8082000000000003</v>
      </c>
    </row>
    <row r="13" spans="1:7" x14ac:dyDescent="0.25">
      <c r="A13" s="34" t="s">
        <v>195</v>
      </c>
      <c r="B13" s="34" t="s">
        <v>196</v>
      </c>
      <c r="C13" s="35">
        <v>3</v>
      </c>
      <c r="D13" s="35">
        <v>9630.7000000000007</v>
      </c>
      <c r="E13" s="35">
        <v>11460.15</v>
      </c>
      <c r="F13" s="35">
        <v>1829.45</v>
      </c>
      <c r="G13" s="35">
        <v>18.995999999999999</v>
      </c>
    </row>
    <row r="14" spans="1:7" x14ac:dyDescent="0.25">
      <c r="A14" s="34" t="s">
        <v>197</v>
      </c>
      <c r="B14" s="34" t="s">
        <v>198</v>
      </c>
      <c r="C14" s="35">
        <v>25</v>
      </c>
      <c r="D14" s="35">
        <v>30718.75</v>
      </c>
      <c r="E14" s="35">
        <v>35967.5</v>
      </c>
      <c r="F14" s="35">
        <v>5248.75</v>
      </c>
      <c r="G14" s="35">
        <v>17.086500000000001</v>
      </c>
    </row>
    <row r="15" spans="1:7" x14ac:dyDescent="0.25">
      <c r="A15" s="34" t="s">
        <v>156</v>
      </c>
      <c r="B15" s="34" t="s">
        <v>199</v>
      </c>
      <c r="C15" s="35">
        <v>200</v>
      </c>
      <c r="D15" s="35">
        <v>26636</v>
      </c>
      <c r="E15" s="35">
        <v>30276</v>
      </c>
      <c r="F15" s="35">
        <v>3640</v>
      </c>
      <c r="G15" s="35">
        <v>13.665699999999999</v>
      </c>
    </row>
    <row r="16" spans="1:7" x14ac:dyDescent="0.25">
      <c r="A16" s="34" t="s">
        <v>22</v>
      </c>
      <c r="B16" s="34" t="s">
        <v>200</v>
      </c>
      <c r="C16" s="35">
        <v>40</v>
      </c>
      <c r="D16" s="35">
        <v>29198.75</v>
      </c>
      <c r="E16" s="35">
        <v>40360.800000000003</v>
      </c>
      <c r="F16" s="35">
        <v>11162.05</v>
      </c>
      <c r="G16" s="35">
        <v>38.227800000000002</v>
      </c>
    </row>
    <row r="17" spans="1:7" x14ac:dyDescent="0.25">
      <c r="A17" s="34" t="s">
        <v>23</v>
      </c>
      <c r="B17" s="34" t="s">
        <v>201</v>
      </c>
      <c r="C17" s="35">
        <v>26</v>
      </c>
      <c r="D17" s="35">
        <v>9710.74</v>
      </c>
      <c r="E17" s="35">
        <v>11346.4</v>
      </c>
      <c r="F17" s="35">
        <v>1635.66</v>
      </c>
      <c r="G17" s="35">
        <v>16.843800000000002</v>
      </c>
    </row>
    <row r="18" spans="1:7" x14ac:dyDescent="0.25">
      <c r="A18" s="34" t="s">
        <v>202</v>
      </c>
      <c r="B18" s="34" t="s">
        <v>203</v>
      </c>
      <c r="C18" s="35">
        <v>10</v>
      </c>
      <c r="D18" s="35">
        <v>7292.59</v>
      </c>
      <c r="E18" s="35">
        <v>8272</v>
      </c>
      <c r="F18" s="35">
        <v>979.41</v>
      </c>
      <c r="G18" s="35">
        <v>13.430199999999999</v>
      </c>
    </row>
    <row r="19" spans="1:7" x14ac:dyDescent="0.25">
      <c r="A19" s="34" t="s">
        <v>204</v>
      </c>
      <c r="B19" s="34" t="s">
        <v>205</v>
      </c>
      <c r="C19" s="35">
        <v>51</v>
      </c>
      <c r="D19" s="35">
        <v>13014.6</v>
      </c>
      <c r="E19" s="35">
        <v>14559.99</v>
      </c>
      <c r="F19" s="35">
        <v>1545.39</v>
      </c>
      <c r="G19" s="35">
        <v>11.8743</v>
      </c>
    </row>
    <row r="20" spans="1:7" x14ac:dyDescent="0.25">
      <c r="A20" s="34" t="s">
        <v>206</v>
      </c>
      <c r="B20" s="34" t="s">
        <v>207</v>
      </c>
      <c r="C20" s="35">
        <v>2871</v>
      </c>
      <c r="D20" s="35">
        <v>173526.92</v>
      </c>
      <c r="E20" s="35">
        <v>225800.9</v>
      </c>
      <c r="F20" s="35">
        <v>52273.98</v>
      </c>
      <c r="G20" s="35">
        <v>30.124400000000001</v>
      </c>
    </row>
    <row r="21" spans="1:7" x14ac:dyDescent="0.25">
      <c r="A21" s="34" t="s">
        <v>26</v>
      </c>
      <c r="B21" s="34" t="s">
        <v>208</v>
      </c>
      <c r="C21" s="35">
        <v>299</v>
      </c>
      <c r="D21" s="35">
        <v>71703.039999999994</v>
      </c>
      <c r="E21" s="35">
        <v>80041.05</v>
      </c>
      <c r="F21" s="35">
        <v>8338.01</v>
      </c>
      <c r="G21" s="35">
        <v>11.628500000000001</v>
      </c>
    </row>
    <row r="22" spans="1:7" x14ac:dyDescent="0.25">
      <c r="A22" s="34" t="s">
        <v>209</v>
      </c>
      <c r="B22" s="34" t="s">
        <v>210</v>
      </c>
      <c r="C22" s="35">
        <v>46</v>
      </c>
      <c r="D22" s="35">
        <v>21708.77</v>
      </c>
      <c r="E22" s="35">
        <v>24326.05</v>
      </c>
      <c r="F22" s="35">
        <v>2617.2800000000002</v>
      </c>
      <c r="G22" s="35">
        <v>12.0563</v>
      </c>
    </row>
    <row r="23" spans="1:7" x14ac:dyDescent="0.25">
      <c r="A23" s="34" t="s">
        <v>211</v>
      </c>
      <c r="B23" s="34" t="s">
        <v>212</v>
      </c>
      <c r="C23" s="35">
        <v>32</v>
      </c>
      <c r="D23" s="35">
        <v>25378.55</v>
      </c>
      <c r="E23" s="35">
        <v>33151.15</v>
      </c>
      <c r="F23" s="35">
        <v>7772.6</v>
      </c>
      <c r="G23" s="35">
        <v>30.6267</v>
      </c>
    </row>
    <row r="24" spans="1:7" x14ac:dyDescent="0.25">
      <c r="A24" s="34" t="s">
        <v>213</v>
      </c>
      <c r="B24" s="34" t="s">
        <v>214</v>
      </c>
      <c r="C24" s="35">
        <v>30</v>
      </c>
      <c r="D24" s="35">
        <v>28597.5</v>
      </c>
      <c r="E24" s="35">
        <v>32895</v>
      </c>
      <c r="F24" s="35">
        <v>4297.5</v>
      </c>
      <c r="G24" s="35">
        <v>15.0275</v>
      </c>
    </row>
    <row r="25" spans="1:7" x14ac:dyDescent="0.25">
      <c r="A25" s="34" t="s">
        <v>31</v>
      </c>
      <c r="B25" s="34" t="s">
        <v>215</v>
      </c>
      <c r="C25" s="35">
        <v>800</v>
      </c>
      <c r="D25" s="35">
        <v>113807.5</v>
      </c>
      <c r="E25" s="35">
        <v>135700.20000000001</v>
      </c>
      <c r="F25" s="35">
        <v>21892.7</v>
      </c>
      <c r="G25" s="35">
        <v>19.236599999999999</v>
      </c>
    </row>
    <row r="26" spans="1:7" x14ac:dyDescent="0.25">
      <c r="A26" s="34" t="s">
        <v>216</v>
      </c>
      <c r="B26" s="34" t="s">
        <v>217</v>
      </c>
      <c r="C26" s="35">
        <v>5</v>
      </c>
      <c r="D26" s="35">
        <v>5787.75</v>
      </c>
      <c r="E26" s="35">
        <v>6664.75</v>
      </c>
      <c r="F26" s="35">
        <v>877</v>
      </c>
      <c r="G26" s="35">
        <v>15.152699999999999</v>
      </c>
    </row>
    <row r="27" spans="1:7" x14ac:dyDescent="0.25">
      <c r="A27" s="34" t="s">
        <v>218</v>
      </c>
      <c r="B27" s="34" t="s">
        <v>219</v>
      </c>
      <c r="C27" s="35">
        <v>100</v>
      </c>
      <c r="D27" s="35">
        <v>54976.25</v>
      </c>
      <c r="E27" s="35">
        <v>67055</v>
      </c>
      <c r="F27" s="35">
        <v>12078.75</v>
      </c>
      <c r="G27" s="35">
        <v>21.9709</v>
      </c>
    </row>
    <row r="28" spans="1:7" x14ac:dyDescent="0.25">
      <c r="A28" s="34" t="s">
        <v>220</v>
      </c>
      <c r="B28" s="34" t="s">
        <v>221</v>
      </c>
      <c r="C28" s="35">
        <v>12</v>
      </c>
      <c r="D28" s="35">
        <v>0</v>
      </c>
      <c r="E28" s="35">
        <v>2276.4</v>
      </c>
      <c r="F28" s="35">
        <v>2276.4</v>
      </c>
      <c r="G28" s="35">
        <v>0</v>
      </c>
    </row>
    <row r="29" spans="1:7" x14ac:dyDescent="0.25">
      <c r="A29" s="34" t="s">
        <v>222</v>
      </c>
      <c r="B29" s="34" t="s">
        <v>223</v>
      </c>
      <c r="C29" s="35">
        <v>160</v>
      </c>
      <c r="D29" s="35">
        <v>44777</v>
      </c>
      <c r="E29" s="35">
        <v>49826</v>
      </c>
      <c r="F29" s="35">
        <v>5049</v>
      </c>
      <c r="G29" s="35">
        <v>11.2759</v>
      </c>
    </row>
    <row r="30" spans="1:7" x14ac:dyDescent="0.25">
      <c r="A30" s="34" t="s">
        <v>224</v>
      </c>
      <c r="B30" s="34" t="s">
        <v>225</v>
      </c>
      <c r="C30" s="35">
        <v>12</v>
      </c>
      <c r="D30" s="35">
        <v>5257.8</v>
      </c>
      <c r="E30" s="35">
        <v>5967</v>
      </c>
      <c r="F30" s="35">
        <v>709.2</v>
      </c>
      <c r="G30" s="35">
        <v>13.4885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5BFF-BF52-4112-B8CC-8F44E3B5BB33}">
  <dimension ref="A1:T85"/>
  <sheetViews>
    <sheetView topLeftCell="A44" zoomScaleNormal="100" workbookViewId="0">
      <selection activeCell="I78" sqref="I78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1.28515625" bestFit="1" customWidth="1"/>
    <col min="5" max="5" width="18.140625" bestFit="1" customWidth="1"/>
    <col min="6" max="6" width="20.5703125" bestFit="1" customWidth="1"/>
    <col min="7" max="7" width="10.7109375" bestFit="1" customWidth="1"/>
    <col min="12" max="12" width="9.85546875" bestFit="1" customWidth="1"/>
  </cols>
  <sheetData>
    <row r="1" spans="1:7" x14ac:dyDescent="0.25">
      <c r="A1" s="38" t="s">
        <v>170</v>
      </c>
      <c r="B1" s="38" t="s">
        <v>171</v>
      </c>
      <c r="C1" s="38" t="s">
        <v>227</v>
      </c>
      <c r="D1" s="38" t="s">
        <v>38</v>
      </c>
      <c r="E1" s="38" t="s">
        <v>228</v>
      </c>
      <c r="F1" s="38" t="s">
        <v>229</v>
      </c>
      <c r="G1" s="38" t="s">
        <v>226</v>
      </c>
    </row>
    <row r="2" spans="1:7" x14ac:dyDescent="0.25">
      <c r="A2" t="s">
        <v>12</v>
      </c>
      <c r="B2" t="s">
        <v>190</v>
      </c>
      <c r="C2" t="s">
        <v>230</v>
      </c>
      <c r="D2" s="39">
        <v>2</v>
      </c>
      <c r="E2" s="39">
        <v>16.5</v>
      </c>
      <c r="F2" s="39">
        <v>33</v>
      </c>
      <c r="G2" s="37" t="s">
        <v>235</v>
      </c>
    </row>
    <row r="3" spans="1:7" x14ac:dyDescent="0.25">
      <c r="A3" t="s">
        <v>216</v>
      </c>
      <c r="B3" t="s">
        <v>217</v>
      </c>
      <c r="C3" t="s">
        <v>231</v>
      </c>
      <c r="D3" s="39">
        <v>5</v>
      </c>
      <c r="E3" s="39">
        <v>18</v>
      </c>
      <c r="F3" s="39">
        <v>90</v>
      </c>
      <c r="G3" s="37" t="s">
        <v>235</v>
      </c>
    </row>
    <row r="4" spans="1:7" x14ac:dyDescent="0.25">
      <c r="A4" t="s">
        <v>222</v>
      </c>
      <c r="B4" t="s">
        <v>223</v>
      </c>
      <c r="C4" t="s">
        <v>232</v>
      </c>
      <c r="D4" s="39">
        <v>40</v>
      </c>
      <c r="E4" s="39">
        <v>17.5</v>
      </c>
      <c r="F4" s="39">
        <v>700</v>
      </c>
      <c r="G4" s="37" t="s">
        <v>235</v>
      </c>
    </row>
    <row r="5" spans="1:7" x14ac:dyDescent="0.25">
      <c r="A5" t="s">
        <v>224</v>
      </c>
      <c r="B5" t="s">
        <v>225</v>
      </c>
      <c r="C5" t="s">
        <v>233</v>
      </c>
      <c r="D5" s="39">
        <v>12</v>
      </c>
      <c r="E5" s="39">
        <v>1</v>
      </c>
      <c r="F5" s="39">
        <v>12</v>
      </c>
      <c r="G5" s="37" t="s">
        <v>235</v>
      </c>
    </row>
    <row r="6" spans="1:7" s="37" customFormat="1" x14ac:dyDescent="0.25">
      <c r="A6" s="37" t="s">
        <v>234</v>
      </c>
      <c r="B6" s="37" t="s">
        <v>221</v>
      </c>
      <c r="C6" s="37" t="s">
        <v>221</v>
      </c>
      <c r="D6" s="37" t="s">
        <v>221</v>
      </c>
      <c r="E6" s="37" t="s">
        <v>221</v>
      </c>
      <c r="F6" s="40">
        <v>835</v>
      </c>
      <c r="G6" s="37" t="s">
        <v>235</v>
      </c>
    </row>
    <row r="7" spans="1:7" s="23" customFormat="1" x14ac:dyDescent="0.25"/>
    <row r="8" spans="1:7" x14ac:dyDescent="0.25">
      <c r="A8" s="34" t="s">
        <v>195</v>
      </c>
      <c r="B8" s="34" t="s">
        <v>196</v>
      </c>
      <c r="C8" s="34" t="s">
        <v>236</v>
      </c>
      <c r="D8" s="35">
        <v>3</v>
      </c>
      <c r="E8" s="35">
        <v>225</v>
      </c>
      <c r="F8" s="35">
        <v>675</v>
      </c>
      <c r="G8" s="37" t="s">
        <v>251</v>
      </c>
    </row>
    <row r="9" spans="1:7" x14ac:dyDescent="0.25">
      <c r="A9" s="34" t="s">
        <v>12</v>
      </c>
      <c r="B9" s="34" t="s">
        <v>190</v>
      </c>
      <c r="C9" s="34" t="s">
        <v>237</v>
      </c>
      <c r="D9" s="35">
        <v>2</v>
      </c>
      <c r="E9" s="35">
        <v>17.5</v>
      </c>
      <c r="F9" s="35">
        <v>35</v>
      </c>
      <c r="G9" s="37" t="s">
        <v>251</v>
      </c>
    </row>
    <row r="10" spans="1:7" x14ac:dyDescent="0.25">
      <c r="A10" s="34" t="s">
        <v>238</v>
      </c>
      <c r="B10" s="34" t="s">
        <v>239</v>
      </c>
      <c r="C10" s="34" t="s">
        <v>240</v>
      </c>
      <c r="D10" s="35">
        <v>5</v>
      </c>
      <c r="E10" s="35">
        <v>31</v>
      </c>
      <c r="F10" s="35">
        <v>155</v>
      </c>
      <c r="G10" s="37" t="s">
        <v>251</v>
      </c>
    </row>
    <row r="11" spans="1:7" x14ac:dyDescent="0.25">
      <c r="A11" s="34" t="s">
        <v>31</v>
      </c>
      <c r="B11" s="34" t="s">
        <v>215</v>
      </c>
      <c r="C11" s="34" t="s">
        <v>241</v>
      </c>
      <c r="D11" s="35">
        <v>100</v>
      </c>
      <c r="E11" s="35">
        <v>3.6</v>
      </c>
      <c r="F11" s="35">
        <v>360</v>
      </c>
      <c r="G11" s="37" t="s">
        <v>251</v>
      </c>
    </row>
    <row r="12" spans="1:7" x14ac:dyDescent="0.25">
      <c r="A12" s="34" t="s">
        <v>216</v>
      </c>
      <c r="B12" s="34" t="s">
        <v>217</v>
      </c>
      <c r="C12" s="34" t="s">
        <v>242</v>
      </c>
      <c r="D12" s="35">
        <v>5</v>
      </c>
      <c r="E12" s="35">
        <v>32</v>
      </c>
      <c r="F12" s="35">
        <v>160</v>
      </c>
      <c r="G12" s="37" t="s">
        <v>251</v>
      </c>
    </row>
    <row r="13" spans="1:7" x14ac:dyDescent="0.25">
      <c r="A13" s="34" t="s">
        <v>218</v>
      </c>
      <c r="B13" s="34" t="s">
        <v>219</v>
      </c>
      <c r="C13" s="34" t="s">
        <v>243</v>
      </c>
      <c r="D13" s="35">
        <v>16</v>
      </c>
      <c r="E13" s="35">
        <v>10</v>
      </c>
      <c r="F13" s="35">
        <v>160</v>
      </c>
      <c r="G13" s="37" t="s">
        <v>251</v>
      </c>
    </row>
    <row r="14" spans="1:7" x14ac:dyDescent="0.25">
      <c r="A14" s="34" t="s">
        <v>187</v>
      </c>
      <c r="B14" s="34" t="s">
        <v>188</v>
      </c>
      <c r="C14" s="34" t="s">
        <v>244</v>
      </c>
      <c r="D14" s="35">
        <v>50</v>
      </c>
      <c r="E14" s="35">
        <v>3</v>
      </c>
      <c r="F14" s="35">
        <v>150</v>
      </c>
      <c r="G14" s="37" t="s">
        <v>251</v>
      </c>
    </row>
    <row r="15" spans="1:7" x14ac:dyDescent="0.25">
      <c r="A15" s="34" t="s">
        <v>12</v>
      </c>
      <c r="B15" s="34" t="s">
        <v>190</v>
      </c>
      <c r="C15" s="34" t="s">
        <v>245</v>
      </c>
      <c r="D15" s="35">
        <v>2</v>
      </c>
      <c r="E15" s="35">
        <v>18</v>
      </c>
      <c r="F15" s="35">
        <v>36</v>
      </c>
      <c r="G15" s="37" t="s">
        <v>251</v>
      </c>
    </row>
    <row r="16" spans="1:7" x14ac:dyDescent="0.25">
      <c r="A16" s="34" t="s">
        <v>216</v>
      </c>
      <c r="B16" s="34" t="s">
        <v>217</v>
      </c>
      <c r="C16" s="34" t="s">
        <v>246</v>
      </c>
      <c r="D16" s="35">
        <v>5</v>
      </c>
      <c r="E16" s="35">
        <v>12</v>
      </c>
      <c r="F16" s="35">
        <v>60</v>
      </c>
      <c r="G16" s="37" t="s">
        <v>251</v>
      </c>
    </row>
    <row r="17" spans="1:7" s="49" customFormat="1" x14ac:dyDescent="0.25">
      <c r="A17" s="46" t="s">
        <v>10</v>
      </c>
      <c r="B17" s="46" t="s">
        <v>189</v>
      </c>
      <c r="C17" s="46" t="s">
        <v>246</v>
      </c>
      <c r="D17" s="47">
        <v>10</v>
      </c>
      <c r="E17" s="47">
        <v>18</v>
      </c>
      <c r="F17" s="47">
        <v>180</v>
      </c>
      <c r="G17" s="48" t="s">
        <v>251</v>
      </c>
    </row>
    <row r="18" spans="1:7" x14ac:dyDescent="0.25">
      <c r="A18" s="34" t="s">
        <v>224</v>
      </c>
      <c r="B18" s="34" t="s">
        <v>225</v>
      </c>
      <c r="C18" s="34" t="s">
        <v>247</v>
      </c>
      <c r="D18" s="35">
        <v>12</v>
      </c>
      <c r="E18" s="35">
        <v>1</v>
      </c>
      <c r="F18" s="35">
        <v>12</v>
      </c>
      <c r="G18" s="37" t="s">
        <v>251</v>
      </c>
    </row>
    <row r="19" spans="1:7" s="30" customFormat="1" x14ac:dyDescent="0.25">
      <c r="A19" s="43" t="s">
        <v>13</v>
      </c>
      <c r="B19" s="43" t="s">
        <v>248</v>
      </c>
      <c r="C19" s="43" t="s">
        <v>249</v>
      </c>
      <c r="D19" s="44">
        <v>194</v>
      </c>
      <c r="E19" s="44">
        <v>6.25</v>
      </c>
      <c r="F19" s="44">
        <v>1212.5</v>
      </c>
      <c r="G19" s="45" t="s">
        <v>251</v>
      </c>
    </row>
    <row r="20" spans="1:7" x14ac:dyDescent="0.25">
      <c r="A20" s="34" t="s">
        <v>22</v>
      </c>
      <c r="B20" s="34" t="s">
        <v>200</v>
      </c>
      <c r="C20" s="34" t="s">
        <v>250</v>
      </c>
      <c r="D20" s="35">
        <v>20</v>
      </c>
      <c r="E20" s="35">
        <v>2.5</v>
      </c>
      <c r="F20" s="35">
        <v>50</v>
      </c>
      <c r="G20" s="37" t="s">
        <v>251</v>
      </c>
    </row>
    <row r="21" spans="1:7" x14ac:dyDescent="0.25">
      <c r="A21" s="41" t="s">
        <v>234</v>
      </c>
      <c r="B21" s="41" t="s">
        <v>221</v>
      </c>
      <c r="C21" s="41" t="s">
        <v>221</v>
      </c>
      <c r="D21" s="41" t="s">
        <v>221</v>
      </c>
      <c r="E21" s="41" t="s">
        <v>221</v>
      </c>
      <c r="F21" s="42">
        <v>3245.5</v>
      </c>
      <c r="G21" s="37" t="s">
        <v>251</v>
      </c>
    </row>
    <row r="22" spans="1:7" s="23" customFormat="1" x14ac:dyDescent="0.25"/>
    <row r="23" spans="1:7" x14ac:dyDescent="0.25">
      <c r="A23" s="34" t="s">
        <v>183</v>
      </c>
      <c r="B23" s="34" t="s">
        <v>184</v>
      </c>
      <c r="C23" s="34" t="s">
        <v>252</v>
      </c>
      <c r="D23" s="35">
        <v>25</v>
      </c>
      <c r="E23" s="35">
        <v>19.5</v>
      </c>
      <c r="F23" s="35">
        <v>487.5</v>
      </c>
      <c r="G23" s="37" t="s">
        <v>276</v>
      </c>
    </row>
    <row r="24" spans="1:7" x14ac:dyDescent="0.25">
      <c r="A24" s="34" t="s">
        <v>12</v>
      </c>
      <c r="B24" s="34" t="s">
        <v>190</v>
      </c>
      <c r="C24" s="34" t="s">
        <v>253</v>
      </c>
      <c r="D24" s="35">
        <v>2</v>
      </c>
      <c r="E24" s="35">
        <v>20</v>
      </c>
      <c r="F24" s="35">
        <v>40</v>
      </c>
      <c r="G24" s="37" t="s">
        <v>276</v>
      </c>
    </row>
    <row r="25" spans="1:7" x14ac:dyDescent="0.25">
      <c r="A25" s="34" t="s">
        <v>12</v>
      </c>
      <c r="B25" s="34" t="s">
        <v>190</v>
      </c>
      <c r="C25" s="34" t="s">
        <v>253</v>
      </c>
      <c r="D25" s="35">
        <v>2</v>
      </c>
      <c r="E25" s="35">
        <v>8</v>
      </c>
      <c r="F25" s="35">
        <v>16</v>
      </c>
      <c r="G25" s="37" t="s">
        <v>276</v>
      </c>
    </row>
    <row r="26" spans="1:7" s="30" customFormat="1" x14ac:dyDescent="0.25">
      <c r="A26" s="43" t="s">
        <v>13</v>
      </c>
      <c r="B26" s="43" t="s">
        <v>248</v>
      </c>
      <c r="C26" s="43" t="s">
        <v>254</v>
      </c>
      <c r="D26" s="44">
        <v>200</v>
      </c>
      <c r="E26" s="44">
        <v>7.5</v>
      </c>
      <c r="F26" s="44">
        <v>1500</v>
      </c>
      <c r="G26" s="45" t="s">
        <v>276</v>
      </c>
    </row>
    <row r="27" spans="1:7" s="49" customFormat="1" x14ac:dyDescent="0.25">
      <c r="A27" s="46" t="s">
        <v>10</v>
      </c>
      <c r="B27" s="46" t="s">
        <v>189</v>
      </c>
      <c r="C27" s="46" t="s">
        <v>255</v>
      </c>
      <c r="D27" s="47">
        <v>17</v>
      </c>
      <c r="E27" s="47">
        <v>24</v>
      </c>
      <c r="F27" s="47">
        <v>408</v>
      </c>
      <c r="G27" s="48" t="s">
        <v>276</v>
      </c>
    </row>
    <row r="28" spans="1:7" x14ac:dyDescent="0.25">
      <c r="A28" s="34" t="s">
        <v>2</v>
      </c>
      <c r="B28" s="34" t="s">
        <v>178</v>
      </c>
      <c r="C28" s="34" t="s">
        <v>256</v>
      </c>
      <c r="D28" s="35">
        <v>100</v>
      </c>
      <c r="E28" s="35">
        <v>0.5</v>
      </c>
      <c r="F28" s="35">
        <v>50</v>
      </c>
      <c r="G28" s="37" t="s">
        <v>276</v>
      </c>
    </row>
    <row r="29" spans="1:7" x14ac:dyDescent="0.25">
      <c r="A29" s="34" t="s">
        <v>238</v>
      </c>
      <c r="B29" s="34" t="s">
        <v>239</v>
      </c>
      <c r="C29" s="34" t="s">
        <v>256</v>
      </c>
      <c r="D29" s="35">
        <v>5</v>
      </c>
      <c r="E29" s="35">
        <v>10</v>
      </c>
      <c r="F29" s="35">
        <v>50</v>
      </c>
      <c r="G29" s="37" t="s">
        <v>276</v>
      </c>
    </row>
    <row r="30" spans="1:7" x14ac:dyDescent="0.25">
      <c r="A30" s="34" t="s">
        <v>49</v>
      </c>
      <c r="B30" s="34" t="s">
        <v>257</v>
      </c>
      <c r="C30" s="34" t="s">
        <v>258</v>
      </c>
      <c r="D30" s="35">
        <v>20</v>
      </c>
      <c r="E30" s="35">
        <v>0.11</v>
      </c>
      <c r="F30" s="35">
        <v>2.2000000000000002</v>
      </c>
      <c r="G30" s="37" t="s">
        <v>276</v>
      </c>
    </row>
    <row r="31" spans="1:7" x14ac:dyDescent="0.25">
      <c r="A31" s="34" t="s">
        <v>33</v>
      </c>
      <c r="B31" s="34" t="s">
        <v>259</v>
      </c>
      <c r="C31" s="34" t="s">
        <v>258</v>
      </c>
      <c r="D31" s="35">
        <v>321</v>
      </c>
      <c r="E31" s="35">
        <v>1.5</v>
      </c>
      <c r="F31" s="35">
        <v>481.5</v>
      </c>
      <c r="G31" s="37" t="s">
        <v>276</v>
      </c>
    </row>
    <row r="32" spans="1:7" x14ac:dyDescent="0.25">
      <c r="A32" s="34" t="s">
        <v>15</v>
      </c>
      <c r="B32" s="34" t="s">
        <v>260</v>
      </c>
      <c r="C32" s="34" t="s">
        <v>261</v>
      </c>
      <c r="D32" s="35">
        <v>27</v>
      </c>
      <c r="E32" s="35">
        <v>2</v>
      </c>
      <c r="F32" s="35">
        <v>54</v>
      </c>
      <c r="G32" s="37" t="s">
        <v>276</v>
      </c>
    </row>
    <row r="33" spans="1:7" x14ac:dyDescent="0.25">
      <c r="A33" s="34" t="s">
        <v>29</v>
      </c>
      <c r="B33" s="34" t="s">
        <v>262</v>
      </c>
      <c r="C33" s="34" t="s">
        <v>263</v>
      </c>
      <c r="D33" s="35">
        <v>20</v>
      </c>
      <c r="E33" s="35">
        <v>4.4000000000000004</v>
      </c>
      <c r="F33" s="35">
        <v>88</v>
      </c>
      <c r="G33" s="37" t="s">
        <v>276</v>
      </c>
    </row>
    <row r="34" spans="1:7" x14ac:dyDescent="0.25">
      <c r="A34" s="34" t="s">
        <v>181</v>
      </c>
      <c r="B34" s="34" t="s">
        <v>182</v>
      </c>
      <c r="C34" s="34" t="s">
        <v>264</v>
      </c>
      <c r="D34" s="35">
        <v>100</v>
      </c>
      <c r="E34" s="35">
        <v>1.5</v>
      </c>
      <c r="F34" s="35">
        <v>150</v>
      </c>
      <c r="G34" s="37" t="s">
        <v>276</v>
      </c>
    </row>
    <row r="35" spans="1:7" x14ac:dyDescent="0.25">
      <c r="A35" s="34" t="s">
        <v>218</v>
      </c>
      <c r="B35" s="34" t="s">
        <v>219</v>
      </c>
      <c r="C35" s="34" t="s">
        <v>265</v>
      </c>
      <c r="D35" s="35">
        <v>88</v>
      </c>
      <c r="E35" s="35">
        <v>1</v>
      </c>
      <c r="F35" s="35">
        <v>88</v>
      </c>
      <c r="G35" s="37" t="s">
        <v>276</v>
      </c>
    </row>
    <row r="36" spans="1:7" x14ac:dyDescent="0.25">
      <c r="A36" s="34" t="s">
        <v>266</v>
      </c>
      <c r="B36" s="34" t="s">
        <v>267</v>
      </c>
      <c r="C36" s="34" t="s">
        <v>268</v>
      </c>
      <c r="D36" s="35">
        <v>75</v>
      </c>
      <c r="E36" s="35">
        <v>1.5</v>
      </c>
      <c r="F36" s="35">
        <v>112.5</v>
      </c>
      <c r="G36" s="37" t="s">
        <v>276</v>
      </c>
    </row>
    <row r="37" spans="1:7" x14ac:dyDescent="0.25">
      <c r="A37" s="34" t="s">
        <v>6</v>
      </c>
      <c r="B37" s="34" t="s">
        <v>269</v>
      </c>
      <c r="C37" s="34" t="s">
        <v>270</v>
      </c>
      <c r="D37" s="35">
        <v>4</v>
      </c>
      <c r="E37" s="35">
        <v>20</v>
      </c>
      <c r="F37" s="35">
        <v>80</v>
      </c>
      <c r="G37" s="37" t="s">
        <v>276</v>
      </c>
    </row>
    <row r="38" spans="1:7" s="49" customFormat="1" x14ac:dyDescent="0.25">
      <c r="A38" s="46" t="s">
        <v>10</v>
      </c>
      <c r="B38" s="46" t="s">
        <v>189</v>
      </c>
      <c r="C38" s="46" t="s">
        <v>271</v>
      </c>
      <c r="D38" s="47">
        <v>60</v>
      </c>
      <c r="E38" s="47">
        <v>10</v>
      </c>
      <c r="F38" s="47">
        <v>600</v>
      </c>
      <c r="G38" s="48" t="s">
        <v>276</v>
      </c>
    </row>
    <row r="39" spans="1:7" s="49" customFormat="1" x14ac:dyDescent="0.25">
      <c r="A39" s="46" t="s">
        <v>10</v>
      </c>
      <c r="B39" s="46" t="s">
        <v>189</v>
      </c>
      <c r="C39" s="46" t="s">
        <v>271</v>
      </c>
      <c r="D39" s="47">
        <v>60</v>
      </c>
      <c r="E39" s="47">
        <v>19</v>
      </c>
      <c r="F39" s="47">
        <v>1140</v>
      </c>
      <c r="G39" s="48" t="s">
        <v>276</v>
      </c>
    </row>
    <row r="40" spans="1:7" x14ac:dyDescent="0.25">
      <c r="A40" s="34" t="s">
        <v>0</v>
      </c>
      <c r="B40" s="34" t="s">
        <v>272</v>
      </c>
      <c r="C40" s="34" t="s">
        <v>273</v>
      </c>
      <c r="D40" s="35">
        <v>10</v>
      </c>
      <c r="E40" s="35">
        <v>4.25</v>
      </c>
      <c r="F40" s="35">
        <v>42.5</v>
      </c>
      <c r="G40" s="37" t="s">
        <v>276</v>
      </c>
    </row>
    <row r="41" spans="1:7" s="23" customFormat="1" x14ac:dyDescent="0.25">
      <c r="A41" s="52" t="s">
        <v>13</v>
      </c>
      <c r="B41" s="52" t="s">
        <v>248</v>
      </c>
      <c r="C41" s="52" t="s">
        <v>274</v>
      </c>
      <c r="D41" s="53">
        <v>200</v>
      </c>
      <c r="E41" s="53">
        <v>6.5</v>
      </c>
      <c r="F41" s="53">
        <v>1300</v>
      </c>
      <c r="G41" s="54" t="s">
        <v>276</v>
      </c>
    </row>
    <row r="42" spans="1:7" x14ac:dyDescent="0.25">
      <c r="A42" s="34" t="s">
        <v>22</v>
      </c>
      <c r="B42" s="34" t="s">
        <v>200</v>
      </c>
      <c r="C42" s="34" t="s">
        <v>275</v>
      </c>
      <c r="D42" s="35">
        <v>80</v>
      </c>
      <c r="E42" s="35">
        <v>2.5</v>
      </c>
      <c r="F42" s="35">
        <v>200</v>
      </c>
      <c r="G42" s="37" t="s">
        <v>276</v>
      </c>
    </row>
    <row r="43" spans="1:7" x14ac:dyDescent="0.25">
      <c r="A43" s="41" t="s">
        <v>234</v>
      </c>
      <c r="B43" s="34" t="s">
        <v>221</v>
      </c>
      <c r="C43" s="34" t="s">
        <v>221</v>
      </c>
      <c r="D43" s="34" t="s">
        <v>221</v>
      </c>
      <c r="E43" s="34" t="s">
        <v>221</v>
      </c>
      <c r="F43" s="42">
        <v>6890.2</v>
      </c>
      <c r="G43" s="37" t="s">
        <v>276</v>
      </c>
    </row>
    <row r="44" spans="1:7" s="23" customFormat="1" x14ac:dyDescent="0.25"/>
    <row r="45" spans="1:7" x14ac:dyDescent="0.25">
      <c r="A45" s="34" t="s">
        <v>277</v>
      </c>
      <c r="B45" s="34" t="s">
        <v>278</v>
      </c>
      <c r="C45" s="34" t="s">
        <v>279</v>
      </c>
      <c r="D45" s="35">
        <v>100</v>
      </c>
      <c r="E45" s="35">
        <v>15.9</v>
      </c>
      <c r="F45" s="35">
        <v>1590</v>
      </c>
      <c r="G45" s="37" t="s">
        <v>312</v>
      </c>
    </row>
    <row r="46" spans="1:7" s="23" customFormat="1" x14ac:dyDescent="0.25">
      <c r="A46" s="55" t="s">
        <v>13</v>
      </c>
      <c r="B46" s="55" t="s">
        <v>248</v>
      </c>
      <c r="C46" s="55" t="s">
        <v>280</v>
      </c>
      <c r="D46" s="56">
        <v>200</v>
      </c>
      <c r="E46" s="56">
        <v>7.85</v>
      </c>
      <c r="F46" s="56">
        <v>1570</v>
      </c>
      <c r="G46" s="28" t="s">
        <v>312</v>
      </c>
    </row>
    <row r="47" spans="1:7" x14ac:dyDescent="0.25">
      <c r="A47" s="34" t="s">
        <v>213</v>
      </c>
      <c r="B47" s="34" t="s">
        <v>214</v>
      </c>
      <c r="C47" s="34" t="s">
        <v>281</v>
      </c>
      <c r="D47" s="35">
        <v>30</v>
      </c>
      <c r="E47" s="35">
        <v>8.25</v>
      </c>
      <c r="F47" s="35">
        <v>247.5</v>
      </c>
      <c r="G47" s="37" t="s">
        <v>312</v>
      </c>
    </row>
    <row r="48" spans="1:7" x14ac:dyDescent="0.25">
      <c r="A48" s="34" t="s">
        <v>31</v>
      </c>
      <c r="B48" s="34" t="s">
        <v>215</v>
      </c>
      <c r="C48" s="34" t="s">
        <v>282</v>
      </c>
      <c r="D48" s="35">
        <v>600</v>
      </c>
      <c r="E48" s="35">
        <v>3.6</v>
      </c>
      <c r="F48" s="35">
        <v>2160</v>
      </c>
      <c r="G48" s="37" t="s">
        <v>312</v>
      </c>
    </row>
    <row r="49" spans="1:7" x14ac:dyDescent="0.25">
      <c r="A49" s="34" t="s">
        <v>0</v>
      </c>
      <c r="B49" s="34" t="s">
        <v>272</v>
      </c>
      <c r="C49" s="34" t="s">
        <v>283</v>
      </c>
      <c r="D49" s="35">
        <v>20</v>
      </c>
      <c r="E49" s="35">
        <v>20.55</v>
      </c>
      <c r="F49" s="35">
        <v>411</v>
      </c>
      <c r="G49" s="37" t="s">
        <v>312</v>
      </c>
    </row>
    <row r="50" spans="1:7" x14ac:dyDescent="0.25">
      <c r="A50" s="34" t="s">
        <v>238</v>
      </c>
      <c r="B50" s="34" t="s">
        <v>239</v>
      </c>
      <c r="C50" s="34" t="s">
        <v>284</v>
      </c>
      <c r="D50" s="35">
        <v>5</v>
      </c>
      <c r="E50" s="35">
        <v>11</v>
      </c>
      <c r="F50" s="35">
        <v>55</v>
      </c>
      <c r="G50" s="37" t="s">
        <v>312</v>
      </c>
    </row>
    <row r="51" spans="1:7" x14ac:dyDescent="0.25">
      <c r="A51" s="34" t="s">
        <v>19</v>
      </c>
      <c r="B51" s="34" t="s">
        <v>285</v>
      </c>
      <c r="C51" s="34" t="s">
        <v>286</v>
      </c>
      <c r="D51" s="35">
        <v>280</v>
      </c>
      <c r="E51" s="35">
        <v>2.9</v>
      </c>
      <c r="F51" s="35">
        <v>812</v>
      </c>
      <c r="G51" s="37" t="s">
        <v>312</v>
      </c>
    </row>
    <row r="52" spans="1:7" x14ac:dyDescent="0.25">
      <c r="A52" s="34" t="s">
        <v>35</v>
      </c>
      <c r="B52" s="34" t="s">
        <v>287</v>
      </c>
      <c r="C52" s="34" t="s">
        <v>286</v>
      </c>
      <c r="D52" s="35">
        <v>50</v>
      </c>
      <c r="E52" s="35">
        <v>7</v>
      </c>
      <c r="F52" s="35">
        <v>350</v>
      </c>
      <c r="G52" s="37" t="s">
        <v>312</v>
      </c>
    </row>
    <row r="53" spans="1:7" x14ac:dyDescent="0.25">
      <c r="A53" s="34" t="s">
        <v>30</v>
      </c>
      <c r="B53" s="34" t="s">
        <v>288</v>
      </c>
      <c r="C53" s="34" t="s">
        <v>286</v>
      </c>
      <c r="D53" s="35">
        <v>100</v>
      </c>
      <c r="E53" s="35">
        <v>2.25</v>
      </c>
      <c r="F53" s="35">
        <v>225</v>
      </c>
      <c r="G53" s="37" t="s">
        <v>312</v>
      </c>
    </row>
    <row r="54" spans="1:7" x14ac:dyDescent="0.25">
      <c r="A54" s="34" t="s">
        <v>8</v>
      </c>
      <c r="B54" s="34" t="s">
        <v>289</v>
      </c>
      <c r="C54" s="34" t="s">
        <v>286</v>
      </c>
      <c r="D54" s="35">
        <v>60</v>
      </c>
      <c r="E54" s="35">
        <v>2.1</v>
      </c>
      <c r="F54" s="35">
        <v>126</v>
      </c>
      <c r="G54" s="37" t="s">
        <v>312</v>
      </c>
    </row>
    <row r="55" spans="1:7" s="49" customFormat="1" x14ac:dyDescent="0.25">
      <c r="A55" s="46" t="s">
        <v>290</v>
      </c>
      <c r="B55" s="46" t="s">
        <v>189</v>
      </c>
      <c r="C55" s="46" t="s">
        <v>291</v>
      </c>
      <c r="D55" s="47">
        <v>80</v>
      </c>
      <c r="E55" s="47">
        <v>24</v>
      </c>
      <c r="F55" s="47">
        <v>1920</v>
      </c>
      <c r="G55" s="48" t="s">
        <v>312</v>
      </c>
    </row>
    <row r="56" spans="1:7" x14ac:dyDescent="0.25">
      <c r="A56" s="34" t="s">
        <v>2</v>
      </c>
      <c r="B56" s="34" t="s">
        <v>178</v>
      </c>
      <c r="C56" s="34" t="s">
        <v>292</v>
      </c>
      <c r="D56" s="35">
        <v>260</v>
      </c>
      <c r="E56" s="35">
        <v>0.5</v>
      </c>
      <c r="F56" s="35">
        <v>130</v>
      </c>
      <c r="G56" s="37" t="s">
        <v>312</v>
      </c>
    </row>
    <row r="57" spans="1:7" x14ac:dyDescent="0.25">
      <c r="A57" s="34" t="s">
        <v>11</v>
      </c>
      <c r="B57" s="34" t="s">
        <v>293</v>
      </c>
      <c r="C57" s="34" t="s">
        <v>294</v>
      </c>
      <c r="D57" s="35">
        <v>158</v>
      </c>
      <c r="E57" s="35">
        <v>0.25</v>
      </c>
      <c r="F57" s="35">
        <v>39.5</v>
      </c>
      <c r="G57" s="37" t="s">
        <v>312</v>
      </c>
    </row>
    <row r="58" spans="1:7" x14ac:dyDescent="0.25">
      <c r="A58" s="34" t="s">
        <v>49</v>
      </c>
      <c r="B58" s="34" t="s">
        <v>257</v>
      </c>
      <c r="C58" s="34" t="s">
        <v>295</v>
      </c>
      <c r="D58" s="35">
        <v>20</v>
      </c>
      <c r="E58" s="35">
        <v>0.14000000000000001</v>
      </c>
      <c r="F58" s="35">
        <v>2.8</v>
      </c>
      <c r="G58" s="37" t="s">
        <v>312</v>
      </c>
    </row>
    <row r="59" spans="1:7" x14ac:dyDescent="0.25">
      <c r="A59" s="34" t="s">
        <v>32</v>
      </c>
      <c r="B59" s="34" t="s">
        <v>296</v>
      </c>
      <c r="C59" s="34" t="s">
        <v>295</v>
      </c>
      <c r="D59" s="35">
        <v>20</v>
      </c>
      <c r="E59" s="35">
        <v>11</v>
      </c>
      <c r="F59" s="35">
        <v>220</v>
      </c>
      <c r="G59" s="37" t="s">
        <v>312</v>
      </c>
    </row>
    <row r="60" spans="1:7" x14ac:dyDescent="0.25">
      <c r="A60" s="34" t="s">
        <v>15</v>
      </c>
      <c r="B60" s="34" t="s">
        <v>260</v>
      </c>
      <c r="C60" s="34" t="s">
        <v>297</v>
      </c>
      <c r="D60" s="35">
        <v>27</v>
      </c>
      <c r="E60" s="35">
        <v>2.5</v>
      </c>
      <c r="F60" s="35">
        <v>67.5</v>
      </c>
      <c r="G60" s="37" t="s">
        <v>312</v>
      </c>
    </row>
    <row r="61" spans="1:7" x14ac:dyDescent="0.25">
      <c r="A61" s="34" t="s">
        <v>29</v>
      </c>
      <c r="B61" s="34" t="s">
        <v>262</v>
      </c>
      <c r="C61" s="34" t="s">
        <v>298</v>
      </c>
      <c r="D61" s="35">
        <v>50</v>
      </c>
      <c r="E61" s="35">
        <v>4.4000000000000004</v>
      </c>
      <c r="F61" s="35">
        <v>220</v>
      </c>
      <c r="G61" s="37" t="s">
        <v>312</v>
      </c>
    </row>
    <row r="62" spans="1:7" x14ac:dyDescent="0.25">
      <c r="A62" s="34" t="s">
        <v>299</v>
      </c>
      <c r="B62" s="34" t="s">
        <v>300</v>
      </c>
      <c r="C62" s="34" t="s">
        <v>301</v>
      </c>
      <c r="D62" s="35">
        <v>50</v>
      </c>
      <c r="E62" s="35">
        <v>5</v>
      </c>
      <c r="F62" s="35">
        <v>250</v>
      </c>
      <c r="G62" s="37" t="s">
        <v>312</v>
      </c>
    </row>
    <row r="63" spans="1:7" x14ac:dyDescent="0.25">
      <c r="A63" s="34" t="s">
        <v>3</v>
      </c>
      <c r="B63" s="34" t="s">
        <v>302</v>
      </c>
      <c r="C63" s="34" t="s">
        <v>303</v>
      </c>
      <c r="D63" s="35">
        <v>20</v>
      </c>
      <c r="E63" s="35">
        <v>12.5</v>
      </c>
      <c r="F63" s="35">
        <v>250</v>
      </c>
      <c r="G63" s="37" t="s">
        <v>312</v>
      </c>
    </row>
    <row r="64" spans="1:7" x14ac:dyDescent="0.25">
      <c r="A64" s="34" t="s">
        <v>29</v>
      </c>
      <c r="B64" s="34" t="s">
        <v>262</v>
      </c>
      <c r="C64" s="34" t="s">
        <v>304</v>
      </c>
      <c r="D64" s="35">
        <v>50</v>
      </c>
      <c r="E64" s="35">
        <v>1.25</v>
      </c>
      <c r="F64" s="35">
        <v>62.5</v>
      </c>
      <c r="G64" s="37" t="s">
        <v>312</v>
      </c>
    </row>
    <row r="65" spans="1:20" x14ac:dyDescent="0.25">
      <c r="A65" s="34" t="s">
        <v>266</v>
      </c>
      <c r="B65" s="34" t="s">
        <v>267</v>
      </c>
      <c r="C65" s="34" t="s">
        <v>305</v>
      </c>
      <c r="D65" s="35">
        <v>85</v>
      </c>
      <c r="E65" s="35">
        <v>1.5</v>
      </c>
      <c r="F65" s="35">
        <v>127.5</v>
      </c>
      <c r="G65" s="37" t="s">
        <v>312</v>
      </c>
    </row>
    <row r="66" spans="1:20" x14ac:dyDescent="0.25">
      <c r="A66" s="34" t="s">
        <v>6</v>
      </c>
      <c r="B66" s="34" t="s">
        <v>269</v>
      </c>
      <c r="C66" s="34" t="s">
        <v>305</v>
      </c>
      <c r="D66" s="35">
        <v>4</v>
      </c>
      <c r="E66" s="35">
        <v>18</v>
      </c>
      <c r="F66" s="35">
        <v>72</v>
      </c>
      <c r="G66" s="37" t="s">
        <v>312</v>
      </c>
    </row>
    <row r="67" spans="1:20" x14ac:dyDescent="0.25">
      <c r="A67" s="34" t="s">
        <v>32</v>
      </c>
      <c r="B67" s="34" t="s">
        <v>296</v>
      </c>
      <c r="C67" s="34" t="s">
        <v>306</v>
      </c>
      <c r="D67" s="35">
        <v>20</v>
      </c>
      <c r="E67" s="35">
        <v>11</v>
      </c>
      <c r="F67" s="35">
        <v>220</v>
      </c>
      <c r="G67" s="37" t="s">
        <v>312</v>
      </c>
    </row>
    <row r="68" spans="1:20" x14ac:dyDescent="0.25">
      <c r="A68" s="34" t="s">
        <v>307</v>
      </c>
      <c r="B68" s="34" t="s">
        <v>190</v>
      </c>
      <c r="C68" s="34" t="s">
        <v>308</v>
      </c>
      <c r="D68" s="35">
        <v>40</v>
      </c>
      <c r="E68" s="35">
        <v>23</v>
      </c>
      <c r="F68" s="35">
        <v>920</v>
      </c>
      <c r="G68" s="37" t="s">
        <v>312</v>
      </c>
    </row>
    <row r="69" spans="1:20" s="49" customFormat="1" x14ac:dyDescent="0.25">
      <c r="A69" s="46" t="s">
        <v>290</v>
      </c>
      <c r="B69" s="46" t="s">
        <v>189</v>
      </c>
      <c r="C69" s="46" t="s">
        <v>309</v>
      </c>
      <c r="D69" s="47">
        <v>90</v>
      </c>
      <c r="E69" s="47">
        <v>19</v>
      </c>
      <c r="F69" s="47">
        <v>1710</v>
      </c>
      <c r="G69" s="48" t="s">
        <v>312</v>
      </c>
    </row>
    <row r="70" spans="1:20" x14ac:dyDescent="0.25">
      <c r="A70" s="34" t="s">
        <v>0</v>
      </c>
      <c r="B70" s="34" t="s">
        <v>272</v>
      </c>
      <c r="C70" s="34" t="s">
        <v>310</v>
      </c>
      <c r="D70" s="35">
        <v>20</v>
      </c>
      <c r="E70" s="35">
        <v>4.5</v>
      </c>
      <c r="F70" s="35">
        <v>90</v>
      </c>
      <c r="G70" s="37" t="s">
        <v>312</v>
      </c>
    </row>
    <row r="71" spans="1:20" x14ac:dyDescent="0.25">
      <c r="A71" s="34" t="s">
        <v>29</v>
      </c>
      <c r="B71" s="34" t="s">
        <v>262</v>
      </c>
      <c r="C71" s="34" t="s">
        <v>311</v>
      </c>
      <c r="D71" s="35">
        <v>50</v>
      </c>
      <c r="E71" s="35">
        <v>1.25</v>
      </c>
      <c r="F71" s="35">
        <v>62.5</v>
      </c>
      <c r="G71" s="37" t="s">
        <v>312</v>
      </c>
      <c r="O71" s="34"/>
      <c r="P71" s="34"/>
      <c r="Q71" s="34"/>
      <c r="R71" s="35"/>
      <c r="S71" s="35"/>
      <c r="T71" s="35"/>
    </row>
    <row r="72" spans="1:20" x14ac:dyDescent="0.25">
      <c r="A72" s="34" t="s">
        <v>32</v>
      </c>
      <c r="B72" s="34" t="s">
        <v>296</v>
      </c>
      <c r="C72" s="34" t="s">
        <v>404</v>
      </c>
      <c r="D72" s="35">
        <v>20</v>
      </c>
      <c r="E72" s="35">
        <v>11</v>
      </c>
      <c r="F72" s="35">
        <v>220</v>
      </c>
      <c r="G72" s="37" t="s">
        <v>312</v>
      </c>
      <c r="O72" s="34"/>
      <c r="P72" s="34"/>
      <c r="Q72" s="34"/>
      <c r="R72" s="35"/>
      <c r="S72" s="35"/>
      <c r="T72" s="35"/>
    </row>
    <row r="73" spans="1:20" x14ac:dyDescent="0.25">
      <c r="A73" s="34" t="s">
        <v>32</v>
      </c>
      <c r="B73" s="34" t="s">
        <v>296</v>
      </c>
      <c r="C73" s="34" t="s">
        <v>404</v>
      </c>
      <c r="D73" s="35">
        <v>20</v>
      </c>
      <c r="E73" s="35">
        <v>46</v>
      </c>
      <c r="F73" s="35">
        <v>920</v>
      </c>
      <c r="G73" s="37" t="s">
        <v>312</v>
      </c>
      <c r="O73" s="34"/>
      <c r="P73" s="34"/>
      <c r="Q73" s="34"/>
      <c r="R73" s="35"/>
      <c r="S73" s="35"/>
      <c r="T73" s="35"/>
    </row>
    <row r="74" spans="1:20" x14ac:dyDescent="0.25">
      <c r="A74" s="34" t="s">
        <v>405</v>
      </c>
      <c r="B74" s="34" t="s">
        <v>406</v>
      </c>
      <c r="C74" s="34" t="s">
        <v>407</v>
      </c>
      <c r="D74" s="35">
        <v>30</v>
      </c>
      <c r="E74" s="35">
        <v>4</v>
      </c>
      <c r="F74" s="35">
        <v>120</v>
      </c>
      <c r="G74" s="37" t="s">
        <v>312</v>
      </c>
      <c r="O74" s="34"/>
      <c r="P74" s="34"/>
      <c r="Q74" s="34"/>
      <c r="R74" s="35"/>
      <c r="S74" s="35"/>
      <c r="T74" s="35"/>
    </row>
    <row r="75" spans="1:20" x14ac:dyDescent="0.25">
      <c r="A75" s="34" t="s">
        <v>42</v>
      </c>
      <c r="B75" s="34" t="s">
        <v>408</v>
      </c>
      <c r="C75" s="34" t="s">
        <v>409</v>
      </c>
      <c r="D75" s="35">
        <v>40</v>
      </c>
      <c r="E75" s="35">
        <v>6</v>
      </c>
      <c r="F75" s="35">
        <v>240</v>
      </c>
      <c r="G75" s="37" t="s">
        <v>312</v>
      </c>
      <c r="O75" s="34"/>
      <c r="P75" s="34"/>
      <c r="Q75" s="34"/>
      <c r="R75" s="35"/>
      <c r="S75" s="35"/>
      <c r="T75" s="35"/>
    </row>
    <row r="76" spans="1:20" x14ac:dyDescent="0.25">
      <c r="A76" s="34" t="s">
        <v>154</v>
      </c>
      <c r="B76" s="34" t="s">
        <v>419</v>
      </c>
      <c r="C76" s="34" t="s">
        <v>420</v>
      </c>
      <c r="D76" s="35">
        <v>50</v>
      </c>
      <c r="E76" s="35">
        <v>1.3</v>
      </c>
      <c r="F76" s="35">
        <v>65</v>
      </c>
      <c r="G76" s="37" t="s">
        <v>312</v>
      </c>
      <c r="O76" s="34"/>
      <c r="P76" s="34"/>
      <c r="Q76" s="34"/>
      <c r="R76" s="35"/>
      <c r="S76" s="35"/>
      <c r="T76" s="35"/>
    </row>
    <row r="77" spans="1:20" x14ac:dyDescent="0.25">
      <c r="A77" s="34" t="s">
        <v>421</v>
      </c>
      <c r="B77" s="34" t="s">
        <v>248</v>
      </c>
      <c r="C77" s="34" t="s">
        <v>422</v>
      </c>
      <c r="D77" s="35">
        <v>300</v>
      </c>
      <c r="E77" s="35">
        <v>6.5</v>
      </c>
      <c r="F77" s="35">
        <v>1950</v>
      </c>
      <c r="G77" s="37" t="s">
        <v>312</v>
      </c>
      <c r="O77" s="34"/>
      <c r="P77" s="34"/>
      <c r="Q77" s="34"/>
      <c r="R77" s="35"/>
      <c r="S77" s="35"/>
      <c r="T77" s="35"/>
    </row>
    <row r="78" spans="1:20" x14ac:dyDescent="0.25">
      <c r="A78" s="34" t="s">
        <v>29</v>
      </c>
      <c r="B78" s="34" t="s">
        <v>262</v>
      </c>
      <c r="C78" s="34" t="s">
        <v>423</v>
      </c>
      <c r="D78" s="35">
        <v>50</v>
      </c>
      <c r="E78" s="35">
        <v>1.25</v>
      </c>
      <c r="F78" s="35">
        <v>62.5</v>
      </c>
      <c r="G78" s="37" t="s">
        <v>312</v>
      </c>
      <c r="O78" s="34"/>
      <c r="P78" s="34"/>
      <c r="Q78" s="34"/>
      <c r="R78" s="35"/>
      <c r="S78" s="35"/>
      <c r="T78" s="35"/>
    </row>
    <row r="79" spans="1:20" x14ac:dyDescent="0.25">
      <c r="A79" s="34" t="s">
        <v>17</v>
      </c>
      <c r="B79" s="34" t="s">
        <v>424</v>
      </c>
      <c r="C79" s="34" t="s">
        <v>423</v>
      </c>
      <c r="D79" s="35">
        <v>400</v>
      </c>
      <c r="E79" s="35">
        <v>2.5</v>
      </c>
      <c r="F79" s="35">
        <v>1000</v>
      </c>
      <c r="G79" s="37" t="s">
        <v>312</v>
      </c>
    </row>
    <row r="80" spans="1:20" s="37" customFormat="1" x14ac:dyDescent="0.25">
      <c r="A80" s="41" t="s">
        <v>234</v>
      </c>
      <c r="B80" s="41" t="s">
        <v>221</v>
      </c>
      <c r="C80" s="41" t="s">
        <v>221</v>
      </c>
      <c r="D80" s="41" t="s">
        <v>221</v>
      </c>
      <c r="E80" s="41" t="s">
        <v>221</v>
      </c>
      <c r="F80" s="42">
        <f>SUM(F45:F79)</f>
        <v>18488.3</v>
      </c>
      <c r="G80" s="37" t="s">
        <v>312</v>
      </c>
    </row>
    <row r="82" spans="12:17" x14ac:dyDescent="0.25">
      <c r="L82" s="34"/>
      <c r="M82" s="34"/>
      <c r="N82" s="34"/>
      <c r="O82" s="35"/>
      <c r="P82" s="35"/>
      <c r="Q82" s="35"/>
    </row>
    <row r="83" spans="12:17" x14ac:dyDescent="0.25">
      <c r="L83" s="34"/>
      <c r="M83" s="34"/>
      <c r="N83" s="34"/>
      <c r="O83" s="35"/>
      <c r="P83" s="35"/>
      <c r="Q83" s="35"/>
    </row>
    <row r="84" spans="12:17" x14ac:dyDescent="0.25">
      <c r="L84" s="34"/>
      <c r="M84" s="34"/>
      <c r="N84" s="34"/>
      <c r="O84" s="35"/>
      <c r="P84" s="35"/>
      <c r="Q84" s="35"/>
    </row>
    <row r="85" spans="12:17" x14ac:dyDescent="0.25">
      <c r="L85" s="34"/>
      <c r="M85" s="34"/>
      <c r="N85" s="34"/>
      <c r="O85" s="35"/>
      <c r="P85" s="35"/>
      <c r="Q85" s="35"/>
    </row>
  </sheetData>
  <phoneticPr fontId="2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6CDE-7394-408C-AE9D-3B65EDA81FE0}">
  <dimension ref="A1:K15"/>
  <sheetViews>
    <sheetView workbookViewId="0">
      <selection activeCell="C26" sqref="C26"/>
    </sheetView>
  </sheetViews>
  <sheetFormatPr defaultRowHeight="15" x14ac:dyDescent="0.25"/>
  <cols>
    <col min="1" max="1" width="50.7109375" bestFit="1" customWidth="1"/>
    <col min="2" max="2" width="26.85546875" bestFit="1" customWidth="1"/>
    <col min="3" max="3" width="10.5703125" bestFit="1" customWidth="1"/>
    <col min="4" max="4" width="17" bestFit="1" customWidth="1"/>
    <col min="5" max="5" width="13.140625" bestFit="1" customWidth="1"/>
    <col min="7" max="7" width="8" bestFit="1" customWidth="1"/>
    <col min="10" max="10" width="12" bestFit="1" customWidth="1"/>
  </cols>
  <sheetData>
    <row r="1" spans="1:11" x14ac:dyDescent="0.25">
      <c r="A1" s="50" t="s">
        <v>376</v>
      </c>
      <c r="B1" s="50" t="s">
        <v>377</v>
      </c>
      <c r="C1" s="50" t="s">
        <v>378</v>
      </c>
      <c r="D1" s="50" t="s">
        <v>379</v>
      </c>
      <c r="E1" s="50" t="s">
        <v>328</v>
      </c>
    </row>
    <row r="2" spans="1:11" x14ac:dyDescent="0.25">
      <c r="A2" t="s">
        <v>380</v>
      </c>
      <c r="B2" t="s">
        <v>381</v>
      </c>
      <c r="C2" t="s">
        <v>382</v>
      </c>
      <c r="D2" t="s">
        <v>383</v>
      </c>
      <c r="E2" t="s">
        <v>384</v>
      </c>
    </row>
    <row r="3" spans="1:11" x14ac:dyDescent="0.25">
      <c r="A3" s="50" t="s">
        <v>318</v>
      </c>
      <c r="B3" s="50" t="s">
        <v>319</v>
      </c>
      <c r="C3" s="50" t="s">
        <v>320</v>
      </c>
      <c r="D3" s="50" t="s">
        <v>321</v>
      </c>
      <c r="E3" s="50" t="s">
        <v>322</v>
      </c>
      <c r="F3" s="50" t="s">
        <v>323</v>
      </c>
      <c r="G3" s="50" t="s">
        <v>324</v>
      </c>
      <c r="H3" s="50" t="s">
        <v>325</v>
      </c>
      <c r="I3" s="50" t="s">
        <v>326</v>
      </c>
      <c r="J3" s="50" t="s">
        <v>327</v>
      </c>
      <c r="K3" s="50" t="s">
        <v>328</v>
      </c>
    </row>
    <row r="4" spans="1:11" x14ac:dyDescent="0.25">
      <c r="A4" t="s">
        <v>329</v>
      </c>
      <c r="B4" t="s">
        <v>330</v>
      </c>
      <c r="C4" t="s">
        <v>331</v>
      </c>
      <c r="D4" t="s">
        <v>332</v>
      </c>
      <c r="E4" t="s">
        <v>333</v>
      </c>
      <c r="F4" t="s">
        <v>334</v>
      </c>
      <c r="G4">
        <v>180.428</v>
      </c>
      <c r="H4" t="s">
        <v>335</v>
      </c>
      <c r="I4" t="s">
        <v>336</v>
      </c>
      <c r="J4">
        <v>9994.2788804000011</v>
      </c>
      <c r="K4" t="s">
        <v>337</v>
      </c>
    </row>
    <row r="5" spans="1:11" x14ac:dyDescent="0.25">
      <c r="A5" t="s">
        <v>338</v>
      </c>
      <c r="B5" t="s">
        <v>339</v>
      </c>
      <c r="C5" t="s">
        <v>331</v>
      </c>
      <c r="D5" t="s">
        <v>340</v>
      </c>
      <c r="E5" t="s">
        <v>341</v>
      </c>
      <c r="F5" t="s">
        <v>334</v>
      </c>
      <c r="G5">
        <v>333.65100000000001</v>
      </c>
      <c r="H5" t="s">
        <v>342</v>
      </c>
      <c r="I5" t="s">
        <v>343</v>
      </c>
      <c r="J5">
        <v>6619.507640400001</v>
      </c>
      <c r="K5" t="s">
        <v>344</v>
      </c>
    </row>
    <row r="6" spans="1:11" x14ac:dyDescent="0.25">
      <c r="A6" t="s">
        <v>345</v>
      </c>
      <c r="B6" t="s">
        <v>346</v>
      </c>
      <c r="C6" t="s">
        <v>331</v>
      </c>
      <c r="D6" t="s">
        <v>347</v>
      </c>
      <c r="E6" t="s">
        <v>348</v>
      </c>
      <c r="F6" t="s">
        <v>334</v>
      </c>
      <c r="G6">
        <v>60.621000000000002</v>
      </c>
      <c r="H6" t="s">
        <v>349</v>
      </c>
      <c r="I6" t="s">
        <v>350</v>
      </c>
      <c r="J6">
        <v>955.99316999999996</v>
      </c>
      <c r="K6" t="s">
        <v>351</v>
      </c>
    </row>
    <row r="7" spans="1:11" x14ac:dyDescent="0.25">
      <c r="A7" t="s">
        <v>352</v>
      </c>
      <c r="B7" t="s">
        <v>346</v>
      </c>
      <c r="C7" t="s">
        <v>331</v>
      </c>
      <c r="D7" t="s">
        <v>353</v>
      </c>
      <c r="E7" t="s">
        <v>348</v>
      </c>
      <c r="F7" t="s">
        <v>334</v>
      </c>
      <c r="G7">
        <v>261.58199999999999</v>
      </c>
      <c r="H7" t="s">
        <v>354</v>
      </c>
      <c r="I7" t="s">
        <v>355</v>
      </c>
      <c r="J7">
        <v>2340.2956793999997</v>
      </c>
      <c r="K7" t="s">
        <v>356</v>
      </c>
    </row>
    <row r="8" spans="1:11" x14ac:dyDescent="0.25">
      <c r="A8" t="s">
        <v>357</v>
      </c>
      <c r="B8" t="s">
        <v>358</v>
      </c>
      <c r="C8" t="s">
        <v>331</v>
      </c>
      <c r="D8" t="s">
        <v>359</v>
      </c>
      <c r="E8" t="s">
        <v>360</v>
      </c>
      <c r="F8" t="s">
        <v>334</v>
      </c>
      <c r="G8">
        <v>145.33099999999999</v>
      </c>
      <c r="H8" t="s">
        <v>361</v>
      </c>
      <c r="I8" t="s">
        <v>362</v>
      </c>
      <c r="J8">
        <v>466.07651700000019</v>
      </c>
      <c r="K8" t="s">
        <v>363</v>
      </c>
    </row>
    <row r="9" spans="1:11" x14ac:dyDescent="0.25">
      <c r="A9" t="s">
        <v>364</v>
      </c>
      <c r="B9" t="s">
        <v>330</v>
      </c>
      <c r="C9" t="s">
        <v>331</v>
      </c>
      <c r="D9" t="s">
        <v>332</v>
      </c>
      <c r="E9" t="s">
        <v>333</v>
      </c>
      <c r="F9" t="s">
        <v>334</v>
      </c>
      <c r="G9">
        <v>178.53500000000003</v>
      </c>
      <c r="H9" t="s">
        <v>365</v>
      </c>
      <c r="I9" t="s">
        <v>366</v>
      </c>
      <c r="J9">
        <v>4526.5086242000016</v>
      </c>
      <c r="K9" t="s">
        <v>367</v>
      </c>
    </row>
    <row r="10" spans="1:11" x14ac:dyDescent="0.25">
      <c r="A10" t="s">
        <v>368</v>
      </c>
      <c r="B10" t="s">
        <v>358</v>
      </c>
      <c r="C10" t="s">
        <v>331</v>
      </c>
      <c r="D10" t="s">
        <v>359</v>
      </c>
      <c r="E10" t="s">
        <v>360</v>
      </c>
      <c r="F10" t="s">
        <v>334</v>
      </c>
      <c r="G10">
        <v>222.55000000000004</v>
      </c>
      <c r="H10" t="s">
        <v>369</v>
      </c>
      <c r="I10" t="s">
        <v>370</v>
      </c>
      <c r="J10">
        <v>8369.2369100000033</v>
      </c>
      <c r="K10" t="s">
        <v>371</v>
      </c>
    </row>
    <row r="11" spans="1:11" x14ac:dyDescent="0.25">
      <c r="A11" t="s">
        <v>345</v>
      </c>
      <c r="B11" t="s">
        <v>346</v>
      </c>
      <c r="C11" t="s">
        <v>331</v>
      </c>
      <c r="D11" t="s">
        <v>347</v>
      </c>
      <c r="E11" t="s">
        <v>372</v>
      </c>
      <c r="F11" t="s">
        <v>334</v>
      </c>
      <c r="G11">
        <v>123.38</v>
      </c>
      <c r="H11" t="s">
        <v>373</v>
      </c>
      <c r="I11" t="s">
        <v>374</v>
      </c>
      <c r="J11">
        <v>2016.2188399999995</v>
      </c>
      <c r="K11" t="s">
        <v>375</v>
      </c>
    </row>
    <row r="13" spans="1:11" x14ac:dyDescent="0.25">
      <c r="A13" s="51" t="s">
        <v>385</v>
      </c>
      <c r="B13" s="51" t="s">
        <v>171</v>
      </c>
      <c r="C13" s="51" t="s">
        <v>38</v>
      </c>
      <c r="D13" s="51" t="s">
        <v>386</v>
      </c>
      <c r="E13" s="51" t="s">
        <v>387</v>
      </c>
      <c r="F13" s="51" t="s">
        <v>388</v>
      </c>
      <c r="G13" s="51" t="s">
        <v>389</v>
      </c>
      <c r="H13" s="51" t="s">
        <v>390</v>
      </c>
    </row>
    <row r="14" spans="1:11" x14ac:dyDescent="0.25">
      <c r="A14" t="s">
        <v>391</v>
      </c>
      <c r="B14" t="s">
        <v>184</v>
      </c>
      <c r="C14">
        <v>40</v>
      </c>
      <c r="D14">
        <v>857.32</v>
      </c>
      <c r="E14">
        <v>34292.800000000003</v>
      </c>
      <c r="F14">
        <v>916.25</v>
      </c>
      <c r="G14">
        <v>36650</v>
      </c>
      <c r="H14">
        <v>2357.1999999999998</v>
      </c>
    </row>
    <row r="15" spans="1:11" x14ac:dyDescent="0.25">
      <c r="A15" t="s">
        <v>392</v>
      </c>
      <c r="B15" t="s">
        <v>200</v>
      </c>
      <c r="C15">
        <v>40</v>
      </c>
      <c r="D15">
        <v>745.72</v>
      </c>
      <c r="E15">
        <v>29828.799999999999</v>
      </c>
      <c r="F15">
        <v>770.55</v>
      </c>
      <c r="G15">
        <v>30822</v>
      </c>
      <c r="H15">
        <v>993.2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4044-D3FF-489B-8F84-C7D6984CCCC7}">
  <dimension ref="A3:H25"/>
  <sheetViews>
    <sheetView workbookViewId="0">
      <selection activeCell="B33" sqref="B33"/>
    </sheetView>
  </sheetViews>
  <sheetFormatPr defaultRowHeight="15" x14ac:dyDescent="0.25"/>
  <cols>
    <col min="1" max="1" width="21.140625" customWidth="1"/>
    <col min="2" max="2" width="19.140625" customWidth="1"/>
    <col min="3" max="3" width="17.28515625" customWidth="1"/>
    <col min="4" max="4" width="30.7109375" customWidth="1"/>
    <col min="5" max="5" width="11" bestFit="1" customWidth="1"/>
    <col min="6" max="6" width="28.140625" customWidth="1"/>
  </cols>
  <sheetData>
    <row r="3" spans="1:8" ht="15.75" x14ac:dyDescent="0.25">
      <c r="A3" s="5">
        <v>45352</v>
      </c>
      <c r="B3" s="2" t="s">
        <v>2</v>
      </c>
      <c r="C3" s="10">
        <v>11</v>
      </c>
      <c r="D3" s="13">
        <v>274.25</v>
      </c>
      <c r="E3" s="9">
        <f>C3*D3</f>
        <v>3016.75</v>
      </c>
    </row>
    <row r="4" spans="1:8" ht="15.75" x14ac:dyDescent="0.25">
      <c r="A4" s="5">
        <v>45352</v>
      </c>
      <c r="B4" s="2" t="s">
        <v>2</v>
      </c>
      <c r="C4" s="10">
        <v>39</v>
      </c>
      <c r="D4" s="13">
        <v>274.35000000000002</v>
      </c>
      <c r="E4" s="9">
        <f>C4*D4</f>
        <v>10699.650000000001</v>
      </c>
    </row>
    <row r="5" spans="1:8" ht="15.75" x14ac:dyDescent="0.25">
      <c r="A5" s="5">
        <v>45355</v>
      </c>
      <c r="B5" s="2" t="s">
        <v>2</v>
      </c>
      <c r="C5" s="10">
        <v>23</v>
      </c>
      <c r="D5" s="13">
        <v>287.10000000000002</v>
      </c>
      <c r="E5" s="9">
        <f>C5*D5</f>
        <v>6603.3</v>
      </c>
    </row>
    <row r="6" spans="1:8" ht="15.75" x14ac:dyDescent="0.25">
      <c r="A6" s="5">
        <v>45358</v>
      </c>
      <c r="B6" s="2" t="s">
        <v>2</v>
      </c>
      <c r="C6" s="10">
        <v>22</v>
      </c>
      <c r="D6" s="13">
        <v>283.75</v>
      </c>
      <c r="E6" s="9">
        <f>C6*D6</f>
        <v>6242.5</v>
      </c>
    </row>
    <row r="7" spans="1:8" ht="15.75" x14ac:dyDescent="0.25">
      <c r="A7" s="5">
        <v>45358</v>
      </c>
      <c r="B7" s="2" t="s">
        <v>2</v>
      </c>
      <c r="C7" s="10">
        <v>5</v>
      </c>
      <c r="D7" s="13">
        <v>283.75</v>
      </c>
      <c r="E7" s="9">
        <f>C7*D7</f>
        <v>1418.75</v>
      </c>
    </row>
    <row r="8" spans="1:8" x14ac:dyDescent="0.25">
      <c r="E8" s="18">
        <f>SUM(E3:E7)</f>
        <v>27980.95</v>
      </c>
      <c r="F8" t="s">
        <v>104</v>
      </c>
      <c r="G8">
        <v>41221</v>
      </c>
      <c r="H8" s="18">
        <f>G8-E8</f>
        <v>13240.05</v>
      </c>
    </row>
    <row r="12" spans="1:8" x14ac:dyDescent="0.25">
      <c r="F12">
        <v>27980.95</v>
      </c>
    </row>
    <row r="14" spans="1:8" ht="15.75" x14ac:dyDescent="0.25">
      <c r="A14" s="4">
        <v>45870</v>
      </c>
      <c r="B14" s="2" t="s">
        <v>9</v>
      </c>
      <c r="C14" s="10">
        <v>100</v>
      </c>
      <c r="D14" s="13">
        <v>106.27</v>
      </c>
      <c r="E14" s="9">
        <f>C14*D14</f>
        <v>10627</v>
      </c>
      <c r="F14" s="2"/>
    </row>
    <row r="15" spans="1:8" ht="15.75" x14ac:dyDescent="0.25">
      <c r="A15" s="4">
        <v>45901</v>
      </c>
      <c r="B15" s="2" t="s">
        <v>9</v>
      </c>
      <c r="C15" s="10">
        <v>100</v>
      </c>
      <c r="D15" s="13">
        <v>119.17</v>
      </c>
      <c r="E15" s="9">
        <f>C15*D15</f>
        <v>11917</v>
      </c>
      <c r="F15" s="2"/>
    </row>
    <row r="17" spans="1:5" s="2" customFormat="1" ht="15.75" x14ac:dyDescent="0.25">
      <c r="A17" s="4">
        <v>46015</v>
      </c>
      <c r="B17" s="2" t="s">
        <v>156</v>
      </c>
      <c r="C17" s="2">
        <v>200</v>
      </c>
      <c r="D17" s="12">
        <v>133.18</v>
      </c>
      <c r="E17" s="9">
        <f>C17*D17</f>
        <v>26636</v>
      </c>
    </row>
    <row r="18" spans="1:5" s="2" customFormat="1" ht="15.75" x14ac:dyDescent="0.25">
      <c r="A18" s="4">
        <v>45548</v>
      </c>
      <c r="B18" s="2" t="s">
        <v>31</v>
      </c>
      <c r="C18" s="10">
        <v>100</v>
      </c>
      <c r="D18" s="13">
        <v>154.34</v>
      </c>
      <c r="E18" s="9">
        <f>C18*D18</f>
        <v>15434</v>
      </c>
    </row>
    <row r="19" spans="1:5" s="2" customFormat="1" ht="15.75" x14ac:dyDescent="0.25">
      <c r="A19" s="4">
        <v>45664</v>
      </c>
      <c r="B19" s="2" t="s">
        <v>31</v>
      </c>
      <c r="C19" s="10">
        <v>100</v>
      </c>
      <c r="D19" s="13">
        <v>132.4</v>
      </c>
      <c r="E19" s="9">
        <f>C19*D19</f>
        <v>13240</v>
      </c>
    </row>
    <row r="22" spans="1:5" s="2" customFormat="1" ht="15.75" x14ac:dyDescent="0.25">
      <c r="A22" s="4">
        <v>45945</v>
      </c>
      <c r="B22" s="4" t="s">
        <v>44</v>
      </c>
      <c r="C22" s="10">
        <v>400</v>
      </c>
      <c r="D22" s="13">
        <v>174.85</v>
      </c>
      <c r="E22" s="9">
        <f>C22*D22</f>
        <v>69940</v>
      </c>
    </row>
    <row r="23" spans="1:5" s="2" customFormat="1" ht="15.75" x14ac:dyDescent="0.25">
      <c r="A23" s="4">
        <v>45950</v>
      </c>
      <c r="B23" s="4" t="s">
        <v>44</v>
      </c>
      <c r="C23" s="10">
        <v>95</v>
      </c>
      <c r="D23" s="13">
        <v>152.38999999999999</v>
      </c>
      <c r="E23" s="9">
        <f>C23*D23</f>
        <v>14477.05</v>
      </c>
    </row>
    <row r="24" spans="1:5" s="2" customFormat="1" ht="15.75" x14ac:dyDescent="0.25">
      <c r="A24" s="4">
        <v>45953</v>
      </c>
      <c r="B24" s="4" t="s">
        <v>44</v>
      </c>
      <c r="C24" s="10">
        <v>5</v>
      </c>
      <c r="D24" s="13">
        <v>142.5</v>
      </c>
      <c r="E24" s="9">
        <f>C24*D24</f>
        <v>712.5</v>
      </c>
    </row>
    <row r="25" spans="1:5" s="2" customFormat="1" ht="15.75" x14ac:dyDescent="0.25">
      <c r="A25" s="4">
        <v>46044</v>
      </c>
      <c r="B25" s="4" t="s">
        <v>44</v>
      </c>
      <c r="C25" s="2">
        <v>30</v>
      </c>
      <c r="D25" s="2">
        <v>294</v>
      </c>
      <c r="E25" s="2">
        <f>C25*D25</f>
        <v>8820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8427-4BFC-42A8-BA88-44546E1510DF}">
  <dimension ref="A1:G3"/>
  <sheetViews>
    <sheetView workbookViewId="0">
      <selection activeCell="G22" sqref="G22"/>
    </sheetView>
  </sheetViews>
  <sheetFormatPr defaultRowHeight="15" x14ac:dyDescent="0.25"/>
  <cols>
    <col min="1" max="1" width="10" bestFit="1" customWidth="1"/>
  </cols>
  <sheetData>
    <row r="1" spans="1:7" x14ac:dyDescent="0.25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</row>
    <row r="2" spans="1:7" x14ac:dyDescent="0.25">
      <c r="A2" t="s">
        <v>157</v>
      </c>
      <c r="B2">
        <v>-2.86</v>
      </c>
      <c r="C2">
        <v>2.87</v>
      </c>
      <c r="D2">
        <v>13.24</v>
      </c>
      <c r="E2">
        <v>36.53</v>
      </c>
      <c r="F2">
        <v>69.8</v>
      </c>
      <c r="G2">
        <v>133.07</v>
      </c>
    </row>
    <row r="3" spans="1:7" x14ac:dyDescent="0.25">
      <c r="A3" t="s">
        <v>158</v>
      </c>
      <c r="B3">
        <v>-1.34</v>
      </c>
      <c r="C3">
        <v>28.83</v>
      </c>
      <c r="D3" t="s">
        <v>159</v>
      </c>
      <c r="E3">
        <v>109.79</v>
      </c>
      <c r="F3">
        <v>157.15</v>
      </c>
      <c r="G3">
        <v>217.13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Purchase Date Wise</vt:lpstr>
      <vt:lpstr>Dec2025 Q</vt:lpstr>
      <vt:lpstr>Company Wise Aggregated Data</vt:lpstr>
      <vt:lpstr>GOLD&amp;SILVER</vt:lpstr>
      <vt:lpstr>MMYY</vt:lpstr>
      <vt:lpstr>YYYY</vt:lpstr>
      <vt:lpstr>Mutualfund</vt:lpstr>
      <vt:lpstr>Large-Small-ETF</vt:lpstr>
      <vt:lpstr>PNL</vt:lpstr>
      <vt:lpstr>Dividends</vt:lpstr>
      <vt:lpstr>Groww Stament</vt:lpstr>
      <vt:lpstr>Rough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mohapatro</dc:creator>
  <cp:lastModifiedBy>sudhir mohapatro</cp:lastModifiedBy>
  <cp:lastPrinted>2025-11-15T14:06:14Z</cp:lastPrinted>
  <dcterms:created xsi:type="dcterms:W3CDTF">2025-09-18T13:18:56Z</dcterms:created>
  <dcterms:modified xsi:type="dcterms:W3CDTF">2026-05-09T07:29:45Z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2026-02-23T09:12:53Z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f3ff8fb2-5fcf-4894-838b-9e3745e363c0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